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Weekly Roadmap" sheetId="2" state="visible" r:id="rId4"/>
    <sheet name="Daily Plan" sheetId="3" state="visible" r:id="rId5"/>
    <sheet name="Website Companion Map" sheetId="4" state="visible" r:id="rId6"/>
    <sheet name="Workload Model" sheetId="5" state="visible" r:id="rId7"/>
    <sheet name="Resource Hub" sheetId="6" state="visible" r:id="rId8"/>
    <sheet name="Security Journal" sheetId="7" state="visible" r:id="rId9"/>
  </sheets>
  <definedNames>
    <definedName function="false" hidden="true" localSheetId="2" name="_xlnm._FilterDatabase" vbProcedure="false">'Daily Plan'!$A$1:$V$225</definedName>
    <definedName function="false" hidden="true" localSheetId="5" name="_xlnm._FilterDatabase" vbProcedure="false">'Resource Hub'!$A$2:$F$29</definedName>
    <definedName function="false" hidden="true" localSheetId="3" name="_xlnm._FilterDatabase" vbProcedure="false">'Website Companion Map'!$A$3:$J$42</definedName>
    <definedName function="false" hidden="true" localSheetId="1" name="_xlnm._FilterDatabase" vbProcedure="false">'Weekly Roadmap'!$A$2:$H$34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<sst xmlns="http://schemas.openxmlformats.org/spreadsheetml/2006/main" count="5220" uniqueCount="891">
  <si>
    <t xml:space="preserve">Cybersecurity Roadmap Study Plan (32-week core plan + portfolio companion)</t>
  </si>
  <si>
    <t xml:space="preserve">Built for 2.5 hours per day, 5 study days per week, 1 review day, and 1 rest day. This version adds filterable task tags, a website companion map, and portfolio-aware study cues.</t>
  </si>
  <si>
    <t xml:space="preserve">Pacing assumptions</t>
  </si>
  <si>
    <t xml:space="preserve">Updated completion estimate</t>
  </si>
  <si>
    <t xml:space="preserve">Study hours per active day</t>
  </si>
  <si>
    <t xml:space="preserve">Planned content hours</t>
  </si>
  <si>
    <t xml:space="preserve">New-content days per week</t>
  </si>
  <si>
    <t xml:space="preserve">Core weeks to finish content</t>
  </si>
  <si>
    <t xml:space="preserve">Review days per week</t>
  </si>
  <si>
    <t xml:space="preserve">Recommended buffer weeks</t>
  </si>
  <si>
    <t xml:space="preserve">Rest days per week</t>
  </si>
  <si>
    <t xml:space="preserve">Recommended total calendar weeks</t>
  </si>
  <si>
    <t xml:space="preserve">New-content hours per week</t>
  </si>
  <si>
    <t xml:space="preserve">Approximate calendar months</t>
  </si>
  <si>
    <t xml:space="preserve">Total weekly scheduled hours</t>
  </si>
  <si>
    <t xml:space="preserve">Completion note</t>
  </si>
  <si>
    <t xml:space="preserve">31 active content weeks + 1 buffer / catch-up week</t>
  </si>
  <si>
    <t xml:space="preserve">Website companion assumption</t>
  </si>
  <si>
    <t xml:space="preserve">Build once, then update lightly on review day</t>
  </si>
  <si>
    <t xml:space="preserve">Separate website-only timeline</t>
  </si>
  <si>
    <t xml:space="preserve">Add ~1-2 weeks if you do site work outside study hours</t>
  </si>
  <si>
    <t xml:space="preserve">Phase map</t>
  </si>
  <si>
    <t xml:space="preserve">Milestones</t>
  </si>
  <si>
    <t xml:space="preserve">Phase</t>
  </si>
  <si>
    <t xml:space="preserve">Weeks</t>
  </si>
  <si>
    <t xml:space="preserve">Start</t>
  </si>
  <si>
    <t xml:space="preserve">End</t>
  </si>
  <si>
    <t xml:space="preserve">Key outputs</t>
  </si>
  <si>
    <t xml:space="preserve">Week 5</t>
  </si>
  <si>
    <t xml:space="preserve">Ubuntu VM built; terminal basics feel usable</t>
  </si>
  <si>
    <t xml:space="preserve">Foundation</t>
  </si>
  <si>
    <t xml:space="preserve">Hardware / OS basics, troubleshooting playbooks, Ubuntu VM, Linux cheat sheet</t>
  </si>
  <si>
    <t xml:space="preserve">Week 12</t>
  </si>
  <si>
    <t xml:space="preserve">Can explain a web request end-to-end and read basic packet evidence</t>
  </si>
  <si>
    <t xml:space="preserve">Networking</t>
  </si>
  <si>
    <t xml:space="preserve">Addressing, protocols, Wireshark captures, end-to-end web request explainer</t>
  </si>
  <si>
    <t xml:space="preserve">Week 19</t>
  </si>
  <si>
    <t xml:space="preserve">Can build a threat model and basic risk register</t>
  </si>
  <si>
    <t xml:space="preserve">Security</t>
  </si>
  <si>
    <t xml:space="preserve">Google certificate work, risk register, threat model, Python script, breach briefings</t>
  </si>
  <si>
    <t xml:space="preserve">Week 27</t>
  </si>
  <si>
    <t xml:space="preserve">Can summarize breaches and recommend controls in management language</t>
  </si>
  <si>
    <t xml:space="preserve">GRC / Application</t>
  </si>
  <si>
    <t xml:space="preserve">Incident-response checklist, control map, SOC workflow, portfolio pack</t>
  </si>
  <si>
    <t xml:space="preserve">Week 31</t>
  </si>
  <si>
    <t xml:space="preserve">Resume / LinkedIn / portfolio pack ready</t>
  </si>
  <si>
    <t xml:space="preserve">Buffer / Final Review</t>
  </si>
  <si>
    <t xml:space="preserve">Catch-up, comprehensive review, retrospective, next-step plan</t>
  </si>
  <si>
    <t xml:space="preserve">Week 32</t>
  </si>
  <si>
    <t xml:space="preserve">Roadmap complete; next 90-day plan written</t>
  </si>
  <si>
    <t xml:space="preserve">How to use this workbook</t>
  </si>
  <si>
    <t xml:space="preserve">• Use the Weekly Roadmap first to see what matters this week, then work from Daily Plan.</t>
  </si>
  <si>
    <t xml:space="preserve">• Filter the Daily Plan by Week, Session type, Phase, Laptop needed, or Task mode tags when you only want today's tasks.</t>
  </si>
  <si>
    <t xml:space="preserve">• The core study plan is still 32 weeks. If you keep the website companion updated during the review day, the timeline usually stays the same.</t>
  </si>
  <si>
    <t xml:space="preserve">• If you keep website setup and upkeep fully separate from study time, budget about 33-34 weeks total instead of 32.</t>
  </si>
  <si>
    <t xml:space="preserve">Weekly Roadmap</t>
  </si>
  <si>
    <t xml:space="preserve">Week</t>
  </si>
  <si>
    <t xml:space="preserve">Weekly focus</t>
  </si>
  <si>
    <t xml:space="preserve">Key deliverable</t>
  </si>
  <si>
    <t xml:space="preserve">Checkpoint</t>
  </si>
  <si>
    <t xml:space="preserve">Primary resource</t>
  </si>
  <si>
    <t xml:space="preserve">Primary URL</t>
  </si>
  <si>
    <t xml:space="preserve">Support URL</t>
  </si>
  <si>
    <t xml:space="preserve">A+ Core 1: hardware, boot process, and internal components</t>
  </si>
  <si>
    <t xml:space="preserve">Hardware glossary + power-on-to-login diagram</t>
  </si>
  <si>
    <t xml:space="preserve">Can explain what each main computer component does and how a system boots.</t>
  </si>
  <si>
    <t xml:space="preserve">Professor Messer A+ Core 1 (220-1201)</t>
  </si>
  <si>
    <t xml:space="preserve">https://www.professormesser.com/free-a-plus-training/220-1201/220-1201-video/220-1201-training-course/</t>
  </si>
  <si>
    <t xml:space="preserve">https://ubuntu.com/download/desktop</t>
  </si>
  <si>
    <t xml:space="preserve">A+ Core 1: mobile devices, networking basics, wireless, and virtualization</t>
  </si>
  <si>
    <t xml:space="preserve">Home-network map + ports and protocols sheet</t>
  </si>
  <si>
    <t xml:space="preserve">Can identify common devices, ports, and SOHO troubleshooting steps.</t>
  </si>
  <si>
    <t xml:space="preserve">https://www.virtualbox.org/wiki/Downloads</t>
  </si>
  <si>
    <t xml:space="preserve">A+ Core 2: operating systems, installs, file systems, and admin basics</t>
  </si>
  <si>
    <t xml:space="preserve">OS comparison grid + install / upgrade checklist</t>
  </si>
  <si>
    <t xml:space="preserve">Can compare major operating systems and explain basic installation choices.</t>
  </si>
  <si>
    <t xml:space="preserve">Professor Messer A+ Core 2 (220-1202)</t>
  </si>
  <si>
    <t xml:space="preserve">https://www.professormesser.com/free-a-plus-training/220-1202/220-1202-video/220-1202-training-course/</t>
  </si>
  <si>
    <t xml:space="preserve">https://www.netdevgroup.com/online/courses/open-source/linux-unhatched</t>
  </si>
  <si>
    <t xml:space="preserve">A+ Core 2: security, support professionalism, and troubleshooting method</t>
  </si>
  <si>
    <t xml:space="preserve">Three troubleshooting playbooks</t>
  </si>
  <si>
    <t xml:space="preserve">Can follow a support process and document incidents clearly.</t>
  </si>
  <si>
    <t xml:space="preserve">https://www.professormesser.com/security-plus/sy0-701/sy0-701-video/sy0-701-comptia-security-plus-course/</t>
  </si>
  <si>
    <t xml:space="preserve">Linux ramp-up and first VM build</t>
  </si>
  <si>
    <t xml:space="preserve">Ubuntu VM + Linux command cheat sheet</t>
  </si>
  <si>
    <t xml:space="preserve">Can navigate Linux comfortably enough to start labs and tooling.</t>
  </si>
  <si>
    <t xml:space="preserve">NDG Linux Unhatched</t>
  </si>
  <si>
    <t xml:space="preserve">Networking foundations: models, media, devices, and topologies</t>
  </si>
  <si>
    <t xml:space="preserve">Packet-journey diagram</t>
  </si>
  <si>
    <t xml:space="preserve">Can describe how data moves through a simple network.</t>
  </si>
  <si>
    <t xml:space="preserve">Cisco CCST Networking / Network Technician path</t>
  </si>
  <si>
    <t xml:space="preserve">https://www.cisco.com/site/us/en/learn/training-certifications/training/courses/ccst-networking.html</t>
  </si>
  <si>
    <t xml:space="preserve">https://www.professormesser.com/network-plus/n10-009/n10-009-video/n10-009-training-course/</t>
  </si>
  <si>
    <t xml:space="preserve">Ethernet, switching, routing, and gateways</t>
  </si>
  <si>
    <t xml:space="preserve">Layer 2 vs Layer 3 comparison sheet</t>
  </si>
  <si>
    <t xml:space="preserve">Can explain when a switch is enough and when a router is required.</t>
  </si>
  <si>
    <t xml:space="preserve">https://contenthub.netacad.com/courses/srwe/_common/1.1.7-lab---basic-switch-configuration.pdf</t>
  </si>
  <si>
    <t xml:space="preserve">IPv4 addressing, subnetting, and address planning</t>
  </si>
  <si>
    <t xml:space="preserve">Subnet worksheet + address plan</t>
  </si>
  <si>
    <t xml:space="preserve">Can read and plan IPv4 subnets for small environments.</t>
  </si>
  <si>
    <t xml:space="preserve">TCP, UDP, ports, DNS, DHCP, NAT, and service flow</t>
  </si>
  <si>
    <t xml:space="preserve">Ports / protocols sheet v2 + trace-route notes</t>
  </si>
  <si>
    <t xml:space="preserve">Can narrate the service path from 'join network' to 'page loads.'</t>
  </si>
  <si>
    <t xml:space="preserve">https://contenthub.netacad.com/courses/netess/_common/4.5.8-lab---trace-a-route.html</t>
  </si>
  <si>
    <t xml:space="preserve">Wireless, SOHO design, cloud, and network security basics</t>
  </si>
  <si>
    <t xml:space="preserve">SOHO hardening checklist</t>
  </si>
  <si>
    <t xml:space="preserve">Can explain baseline protections for a small office or home network.</t>
  </si>
  <si>
    <t xml:space="preserve">https://www.wireshark.org/download.html</t>
  </si>
  <si>
    <t xml:space="preserve">Wireshark and troubleshooting with packet evidence</t>
  </si>
  <si>
    <t xml:space="preserve">Three annotated packet captures</t>
  </si>
  <si>
    <t xml:space="preserve">Can use packet captures to support an explanation instead of guessing.</t>
  </si>
  <si>
    <t xml:space="preserve">Wireshark</t>
  </si>
  <si>
    <t xml:space="preserve">https://contenthub.netacad.com/courses/cyberops/_common/5.3.7-lab---introduction-to-wireshark.pdf</t>
  </si>
  <si>
    <t xml:space="preserve">TryHackMe Pre Security and end-to-end web request capstone</t>
  </si>
  <si>
    <t xml:space="preserve">End-to-end web request explainer</t>
  </si>
  <si>
    <t xml:space="preserve">Can explain internet plumbing clearly enough for a manager.</t>
  </si>
  <si>
    <t xml:space="preserve">TryHackMe Pre Security</t>
  </si>
  <si>
    <t xml:space="preserve">https://tryhackme.com/path/outline/presecurity</t>
  </si>
  <si>
    <t xml:space="preserve">Google Course 1: Foundations of Cybersecurity</t>
  </si>
  <si>
    <t xml:space="preserve">Professional statement + CIA / framework notes</t>
  </si>
  <si>
    <t xml:space="preserve">Can define cybersecurity in business terms, not just technical terms.</t>
  </si>
  <si>
    <t xml:space="preserve">https://www.coursera.org/learn/foundations-of-cybersecurity?specialization=google-cybersecurity</t>
  </si>
  <si>
    <t xml:space="preserve">Google Course 2: Play It Safe - Manage Security Risks</t>
  </si>
  <si>
    <t xml:space="preserve">Starter risk register</t>
  </si>
  <si>
    <t xml:space="preserve">Can distinguish risk from vulnerability and link controls to business priorities.</t>
  </si>
  <si>
    <t xml:space="preserve">Google Course 2: Manage Security Risks</t>
  </si>
  <si>
    <t xml:space="preserve">https://www.coursera.org/learn/manage-security-risks?specialization=google-cybersecurity</t>
  </si>
  <si>
    <t xml:space="preserve">Google Course 3: Networks and Network Security</t>
  </si>
  <si>
    <t xml:space="preserve">Hardened network checklist</t>
  </si>
  <si>
    <t xml:space="preserve">Can describe how network design choices affect security outcomes.</t>
  </si>
  <si>
    <t xml:space="preserve">https://www.coursera.org/learn/networks-and-network-security?specialization=google-cybersecurity</t>
  </si>
  <si>
    <t xml:space="preserve">Google Course 4: Linux and SQL (part 1 - Linux)</t>
  </si>
  <si>
    <t xml:space="preserve">Linux command notebook</t>
  </si>
  <si>
    <t xml:space="preserve">Can navigate Linux and explain permissions without memorizing blindly.</t>
  </si>
  <si>
    <t xml:space="preserve">Google Course 4: Linux and SQL</t>
  </si>
  <si>
    <t xml:space="preserve">https://www.coursera.org/learn/linux-and-sql?specialization=google-cybersecurity</t>
  </si>
  <si>
    <t xml:space="preserve">Google Course 4: Linux and SQL (part 2 - SQL)</t>
  </si>
  <si>
    <t xml:space="preserve">SQL query notebook</t>
  </si>
  <si>
    <t xml:space="preserve">Can read and write basic SQL queries for security-relevant data.</t>
  </si>
  <si>
    <t xml:space="preserve">https://tryhackme.com/path/outline/cybersecurity101</t>
  </si>
  <si>
    <t xml:space="preserve">Google Course 5: Assets, threats, and vulnerabilities (part 1)</t>
  </si>
  <si>
    <t xml:space="preserve">Asset inventory + data handling guide</t>
  </si>
  <si>
    <t xml:space="preserve">Can classify assets and explain why not all data deserves the same treatment.</t>
  </si>
  <si>
    <t xml:space="preserve">Google Course 5: Assets, Threats, and Vulnerabilities</t>
  </si>
  <si>
    <t xml:space="preserve">https://www.coursera.org/learn/assets-threats-and-vulnerabilities?specialization=google-cybersecurity</t>
  </si>
  <si>
    <t xml:space="preserve">Google Course 5: Assets, threats, and vulnerabilities (part 2)</t>
  </si>
  <si>
    <t xml:space="preserve">Threat model + vulnerability notes</t>
  </si>
  <si>
    <t xml:space="preserve">Can reason from asset to attacker to mitigation.</t>
  </si>
  <si>
    <t xml:space="preserve">Google Course 6: Detection and response (part 1)</t>
  </si>
  <si>
    <t xml:space="preserve">One-page IR playbook</t>
  </si>
  <si>
    <t xml:space="preserve">Can outline the incident lifecycle and the evidence sources used along the way.</t>
  </si>
  <si>
    <t xml:space="preserve">Google Course 6: Detection and Response</t>
  </si>
  <si>
    <t xml:space="preserve">https://www.coursera.org/learn/detection-and-response?specialization=google-cybersecurity</t>
  </si>
  <si>
    <t xml:space="preserve">https://www.cisa.gov/resources-tools/programs/Incident-Response-Training</t>
  </si>
  <si>
    <t xml:space="preserve">Google Course 6: Detection and response (part 2)</t>
  </si>
  <si>
    <t xml:space="preserve">Escalation matrix + incident summary</t>
  </si>
  <si>
    <t xml:space="preserve">Can explain how a SOC turns alerts into actions and communications.</t>
  </si>
  <si>
    <t xml:space="preserve">https://tryhackme.com/module/defensive-security</t>
  </si>
  <si>
    <t xml:space="preserve">Google Course 7: Python automation (part 1)</t>
  </si>
  <si>
    <t xml:space="preserve">Python basics notebook</t>
  </si>
  <si>
    <t xml:space="preserve">Can read and modify short Python scripts without freezing.</t>
  </si>
  <si>
    <t xml:space="preserve">Google Course 7: Automate Cybersecurity Tasks with Python</t>
  </si>
  <si>
    <t xml:space="preserve">https://www.coursera.org/learn/automate-cybersecurity-tasks-with-python?specialization=google-cybersecurity</t>
  </si>
  <si>
    <t xml:space="preserve">https://www.coursera.org/professional-certificates/google-cybersecurity</t>
  </si>
  <si>
    <t xml:space="preserve">Google Course 7: Python automation (part 2)</t>
  </si>
  <si>
    <t xml:space="preserve">Automation script portfolio item</t>
  </si>
  <si>
    <t xml:space="preserve">Can connect automation ideas to real analyst workflows.</t>
  </si>
  <si>
    <t xml:space="preserve">Google Course 8: Prepare for cybersecurity jobs</t>
  </si>
  <si>
    <t xml:space="preserve">Resume bullets + five mock interview answers</t>
  </si>
  <si>
    <t xml:space="preserve">Can talk about your work in evidence-based, employer-friendly language.</t>
  </si>
  <si>
    <t xml:space="preserve">Google Course 8: Prepare for Cybersecurity Jobs</t>
  </si>
  <si>
    <t xml:space="preserve">https://www.coursera.org/learn/prepare-for-cybersecurity-jobs?specialization=google-cybersecurity</t>
  </si>
  <si>
    <t xml:space="preserve">Google Course 9: Job search systems, AI support, and profile polish</t>
  </si>
  <si>
    <t xml:space="preserve">LinkedIn update + application tracker</t>
  </si>
  <si>
    <t xml:space="preserve">Your online profile and job-search system are live and usable.</t>
  </si>
  <si>
    <t xml:space="preserve">Google Course 9: Accelerate Your Job Search with AI</t>
  </si>
  <si>
    <t xml:space="preserve">https://www.coursera.org/learn/accelerate-your-job-search-with-ai?specialization=google-cybersecurity</t>
  </si>
  <si>
    <t xml:space="preserve">Security+ reinforcement: IAM, crypto, and social engineering</t>
  </si>
  <si>
    <t xml:space="preserve">IAM / crypto / social-engineering brief</t>
  </si>
  <si>
    <t xml:space="preserve">Can explain core defensive principles clearly and consistently.</t>
  </si>
  <si>
    <t xml:space="preserve">Professor Messer Security+ (SY0-701)</t>
  </si>
  <si>
    <t xml:space="preserve">TryHackMe Cyber Security 101 + breach journal capstone</t>
  </si>
  <si>
    <t xml:space="preserve">Three breach summaries + management brief</t>
  </si>
  <si>
    <t xml:space="preserve">Can translate technical incidents into management language.</t>
  </si>
  <si>
    <t xml:space="preserve">TryHackMe Cyber Security 101</t>
  </si>
  <si>
    <t xml:space="preserve">CISA incident response materials and playbook thinking</t>
  </si>
  <si>
    <t xml:space="preserve">IR checklist + roles matrix</t>
  </si>
  <si>
    <t xml:space="preserve">Can think about incidents in terms of preparation, roles, and business continuity.</t>
  </si>
  <si>
    <t xml:space="preserve">CISA Incident Response Training</t>
  </si>
  <si>
    <t xml:space="preserve">https://www.cisa.gov/resources-tools/resources/cisa-learning</t>
  </si>
  <si>
    <t xml:space="preserve">Critical infrastructure, governance, risk, and assessment mindset</t>
  </si>
  <si>
    <t xml:space="preserve">Risk register + control map</t>
  </si>
  <si>
    <t xml:space="preserve">Can talk about cyber in governance and resilience terms, not just tools.</t>
  </si>
  <si>
    <t xml:space="preserve">CISA Critical Infrastructure Training</t>
  </si>
  <si>
    <t xml:space="preserve">https://www.cisa.gov/critical-infrastructure-training</t>
  </si>
  <si>
    <t xml:space="preserve">https://www.cisa.gov/resources-tools/resources/cyber-security-evaluation-tool-cset-fact-sheet-public-safety</t>
  </si>
  <si>
    <t xml:space="preserve">TryHackMe Defensive Security: SOC, forensics, IR, and logs</t>
  </si>
  <si>
    <t xml:space="preserve">SOC workflow + lab notes</t>
  </si>
  <si>
    <t xml:space="preserve">Can describe a defensive workflow from alert to escalation.</t>
  </si>
  <si>
    <t xml:space="preserve">TryHackMe Defensive Security</t>
  </si>
  <si>
    <t xml:space="preserve">Portfolio packaging, mock briefing, and next-step planning</t>
  </si>
  <si>
    <t xml:space="preserve">Final portfolio pack + next-step plan</t>
  </si>
  <si>
    <t xml:space="preserve">You have a usable portfolio and a credible next-step roadmap.</t>
  </si>
  <si>
    <t xml:space="preserve">Google job-prep materials and your portfolio artifacts</t>
  </si>
  <si>
    <t xml:space="preserve">Catch-up, comprehensive review, and study-system reset</t>
  </si>
  <si>
    <t xml:space="preserve">Completion checklist + retrospective</t>
  </si>
  <si>
    <t xml:space="preserve">Everything is either complete or deliberately parked with a next step.</t>
  </si>
  <si>
    <t xml:space="preserve">Your notes, workbook, and saved artifacts</t>
  </si>
  <si>
    <t xml:space="preserve">Day</t>
  </si>
  <si>
    <t xml:space="preserve">Session type</t>
  </si>
  <si>
    <t xml:space="preserve">Hours</t>
  </si>
  <si>
    <t xml:space="preserve">Session objective</t>
  </si>
  <si>
    <t xml:space="preserve">Suggested split</t>
  </si>
  <si>
    <t xml:space="preserve">To-do list</t>
  </si>
  <si>
    <t xml:space="preserve">Deliverable / checkpoint</t>
  </si>
  <si>
    <t xml:space="preserve">Review / journal prompt</t>
  </si>
  <si>
    <t xml:space="preserve">Support resource</t>
  </si>
  <si>
    <t xml:space="preserve">Status</t>
  </si>
  <si>
    <t xml:space="preserve">Task mode tags</t>
  </si>
  <si>
    <t xml:space="preserve">Laptop needed</t>
  </si>
  <si>
    <t xml:space="preserve">Video</t>
  </si>
  <si>
    <t xml:space="preserve">Reading</t>
  </si>
  <si>
    <t xml:space="preserve">Hands-on</t>
  </si>
  <si>
    <t xml:space="preserve">Writing / portfolio</t>
  </si>
  <si>
    <t xml:space="preserve">Day 1</t>
  </si>
  <si>
    <t xml:space="preserve">Study</t>
  </si>
  <si>
    <t xml:space="preserve">Kick off the week's topic and build the right vocabulary.</t>
  </si>
  <si>
    <t xml:space="preserve">15m recall + 75m core learning + 45m practice / lab + 15m wrap-up</t>
  </si>
  <si>
    <t xml:space="preserve">Watch the A+ course intro and the CPU / RAM / storage basics. Start a glossary for hardware terms you will reuse all month.</t>
  </si>
  <si>
    <t xml:space="preserve">End-of-day question: What one concept from a+ core 1: hardware, boot process, and internal components still feels fuzzy, and what will you revisit tomorrow?</t>
  </si>
  <si>
    <t xml:space="preserve">Ubuntu Desktop (for later VM work)</t>
  </si>
  <si>
    <t xml:space="preserve">Not started</t>
  </si>
  <si>
    <t xml:space="preserve">Video + Writing</t>
  </si>
  <si>
    <t xml:space="preserve">Recommended</t>
  </si>
  <si>
    <t xml:space="preserve">Yes</t>
  </si>
  <si>
    <t xml:space="preserve">No</t>
  </si>
  <si>
    <t xml:space="preserve">Day 2</t>
  </si>
  <si>
    <t xml:space="preserve">Deepen concepts and connect them to the bigger system.</t>
  </si>
  <si>
    <t xml:space="preserve">Study motherboard, buses, power delivery, BIOS / UEFI, and the boot path from power-on to login.</t>
  </si>
  <si>
    <t xml:space="preserve">Video + Reading</t>
  </si>
  <si>
    <t xml:space="preserve">Day 3</t>
  </si>
  <si>
    <t xml:space="preserve">Apply the concepts with examples, drills, or comparisons.</t>
  </si>
  <si>
    <t xml:space="preserve">Cover ports, connectors, displays, and common form factors. Build a one-page hardware and connector cheat sheet.</t>
  </si>
  <si>
    <t xml:space="preserve">Video + Reading + Hands-on + Writing</t>
  </si>
  <si>
    <t xml:space="preserve">Day 4</t>
  </si>
  <si>
    <t xml:space="preserve">Use tools or labs so the topic becomes practical, not abstract.</t>
  </si>
  <si>
    <t xml:space="preserve">Inspect your own machine or a borrowed machine: record CPU, RAM, storage, and firmware information using built-in tools.</t>
  </si>
  <si>
    <t xml:space="preserve">Video + Hands-on</t>
  </si>
  <si>
    <t xml:space="preserve">Day 5</t>
  </si>
  <si>
    <t xml:space="preserve">Synthesize the week and create the deliverable.</t>
  </si>
  <si>
    <t xml:space="preserve">Teach the boot process back in plain language and close gaps with a short self-test or flashcard drill.</t>
  </si>
  <si>
    <t xml:space="preserve">Summarize this week in 5-8 sentences and make sure the deliverable is saved somewhere easy to find.</t>
  </si>
  <si>
    <t xml:space="preserve">Day 6</t>
  </si>
  <si>
    <t xml:space="preserve">Review</t>
  </si>
  <si>
    <t xml:space="preserve">Lock in the week's material, surface weak spots, and tidy your notes.</t>
  </si>
  <si>
    <t xml:space="preserve">45m recall + 60m quiz / weak-topic review + 30m redo one lab + 15m next-week setup</t>
  </si>
  <si>
    <t xml:space="preserve">Recall this week from memory, quiz yourself on the weak spots, redo the most useful exercise, and clean up your notes for a+ core 1: hardware, boot process, and internal components.</t>
  </si>
  <si>
    <t xml:space="preserve">Weekly recap complete; one weak topic revisited; notes cleaned</t>
  </si>
  <si>
    <t xml:space="preserve">Add a short journal entry: What improved this week? What still needs another pass before moving on? Checkpoint target: Can explain what each main computer component does and how a system boots.</t>
  </si>
  <si>
    <t xml:space="preserve">Video + Reading + Hands-on + Writing + Review</t>
  </si>
  <si>
    <t xml:space="preserve">Day 7</t>
  </si>
  <si>
    <t xml:space="preserve">Rest</t>
  </si>
  <si>
    <t xml:space="preserve">Rest and let consolidation happen.</t>
  </si>
  <si>
    <t xml:space="preserve">Off</t>
  </si>
  <si>
    <t xml:space="preserve">No course work. Protect the day. Only do admin cleanup if it genuinely reduces stress next week.</t>
  </si>
  <si>
    <t xml:space="preserve">Recovery complete</t>
  </si>
  <si>
    <t xml:space="preserve">Optional: note any life constraints that may affect the next week, then close the workbook.</t>
  </si>
  <si>
    <t xml:space="preserve">Study laptop hardware, displays, docking, and mobile accessories. Add mobile-specific parts to your glossary.</t>
  </si>
  <si>
    <t xml:space="preserve">End-of-day question: What one concept from a+ core 1: mobile devices, networking basics, wireless, and virtualization still feels fuzzy, and what will you revisit tomorrow?</t>
  </si>
  <si>
    <t xml:space="preserve">VirtualBox</t>
  </si>
  <si>
    <t xml:space="preserve">Video + Reading + Writing</t>
  </si>
  <si>
    <t xml:space="preserve">Review network devices, common ports, protocols, and connector types that appear in entry-level IT support.</t>
  </si>
  <si>
    <t xml:space="preserve">Cover wireless standards, cloud models, printers, and virtualization concepts. Write one daily-life example for each.</t>
  </si>
  <si>
    <t xml:space="preserve">Draw your home or school network, marking modem / ISP edge, router, access points, switches, and endpoints.</t>
  </si>
  <si>
    <t xml:space="preserve">Required</t>
  </si>
  <si>
    <t xml:space="preserve">Create two troubleshooting flowcharts: 'cannot connect to the internet' and 'printer not working.'</t>
  </si>
  <si>
    <t xml:space="preserve">Recall this week from memory, quiz yourself on the weak spots, redo the most useful exercise, and clean up your notes for a+ core 1: mobile devices, networking basics, wireless, and virtualization.</t>
  </si>
  <si>
    <t xml:space="preserve">Add a short journal entry: What improved this week? What still needs another pass before moving on? Checkpoint target: Can identify common devices, ports, and SOHO troubleshooting steps.</t>
  </si>
  <si>
    <t xml:space="preserve">Study Windows, Linux, macOS, mobile OS families, and the purpose of file systems and editions.</t>
  </si>
  <si>
    <t xml:space="preserve">End-of-day question: What one concept from a+ core 2: operating systems, installs, file systems, and admin basics still feels fuzzy, and what will you revisit tomorrow?</t>
  </si>
  <si>
    <t xml:space="preserve">Linux Unhatched</t>
  </si>
  <si>
    <t xml:space="preserve">Learn installation methods, boot media, partitions, upgrade paths, and basic deployment concepts.</t>
  </si>
  <si>
    <t xml:space="preserve">Work through Windows tools, command-line basics, services, permissions, and administrative utilities.</t>
  </si>
  <si>
    <t xml:space="preserve">Compare Linux and macOS basics to Windows: package concepts, shells, permissions, and system tasks.</t>
  </si>
  <si>
    <t xml:space="preserve">Write a scenario-based guide for choosing the right OS for three users with different needs.</t>
  </si>
  <si>
    <t xml:space="preserve">Video + Hands-on + Writing</t>
  </si>
  <si>
    <t xml:space="preserve">Recall this week from memory, quiz yourself on the weak spots, redo the most useful exercise, and clean up your notes for a+ core 2: operating systems, installs, file systems, and admin basics.</t>
  </si>
  <si>
    <t xml:space="preserve">Add a short journal entry: What improved this week? What still needs another pass before moving on? Checkpoint target: Can compare major operating systems and explain basic installation choices.</t>
  </si>
  <si>
    <t xml:space="preserve">Study authentication, malware, best practices, security settings, and user hygiene fundamentals.</t>
  </si>
  <si>
    <t xml:space="preserve">End-of-day question: What one concept from a+ core 2: security, support professionalism, and troubleshooting method still feels fuzzy, and what will you revisit tomorrow?</t>
  </si>
  <si>
    <t xml:space="preserve">Professor Messer Security+ (selected clips for security reinforcement)</t>
  </si>
  <si>
    <t xml:space="preserve">Learn ticketing, documentation, change control, professionalism, and why process matters in IT work.</t>
  </si>
  <si>
    <t xml:space="preserve">Work through the troubleshooting methodology and how to avoid random guessing during support.</t>
  </si>
  <si>
    <t xml:space="preserve">Simulate three support cases and document symptoms, likely causes, tests, and resolution steps.</t>
  </si>
  <si>
    <t xml:space="preserve">Convert your notes into reusable troubleshooting playbooks for OS, login, and connectivity problems.</t>
  </si>
  <si>
    <t xml:space="preserve">Recall this week from memory, quiz yourself on the weak spots, redo the most useful exercise, and clean up your notes for a+ core 2: security, support professionalism, and troubleshooting method.</t>
  </si>
  <si>
    <t xml:space="preserve">Add a short journal entry: What improved this week? What still needs another pass before moving on? Checkpoint target: Can follow a support process and document incidents clearly.</t>
  </si>
  <si>
    <t xml:space="preserve">Start Linux Unhatched and practice navigating the shell, directories, relative paths, and help commands.</t>
  </si>
  <si>
    <t xml:space="preserve">End-of-day question: What one concept from linux ramp-up and first vm build still feels fuzzy, and what will you revisit tomorrow?</t>
  </si>
  <si>
    <t xml:space="preserve">VirtualBox and Ubuntu Desktop</t>
  </si>
  <si>
    <t xml:space="preserve">Reading + Hands-on</t>
  </si>
  <si>
    <t xml:space="preserve">Practice file management, searching, copying, moving, redirection, and permissions in the terminal.</t>
  </si>
  <si>
    <t xml:space="preserve">Study users, groups, packages, processes, and a few safe admin commands you can repeat from memory.</t>
  </si>
  <si>
    <t xml:space="preserve">Install VirtualBox, create an Ubuntu VM, and complete a terminal-only challenge to create and organize files.</t>
  </si>
  <si>
    <t xml:space="preserve">Do a foundation capstone: explain the stack from hardware to OS to shell and list your weakest concepts.</t>
  </si>
  <si>
    <t xml:space="preserve">Recall this week from memory, quiz yourself on the weak spots, redo the most useful exercise, and clean up your notes for linux ramp-up and first vm build.</t>
  </si>
  <si>
    <t xml:space="preserve">Add a short journal entry: What improved this week? What still needs another pass before moving on? Checkpoint target: Can navigate Linux comfortably enough to start labs and tooling.</t>
  </si>
  <si>
    <t xml:space="preserve">Reading + Hands-on + Writing + Review</t>
  </si>
  <si>
    <t xml:space="preserve">Learn what networks do, why layers exist, and how LAN, WAN, and internet paths differ.</t>
  </si>
  <si>
    <t xml:space="preserve">End-of-day question: What one concept from networking foundations: models, media, devices, and topologies still feels fuzzy, and what will you revisit tomorrow?</t>
  </si>
  <si>
    <t xml:space="preserve">Professor Messer Network+ (N10-009)</t>
  </si>
  <si>
    <t xml:space="preserve">Study cables, media, topologies, switches, routers, access points, and firewalls with plain-language definitions.</t>
  </si>
  <si>
    <t xml:space="preserve">Map the journey from a laptop to a website, naming every major device and service in the path.</t>
  </si>
  <si>
    <t xml:space="preserve">Reading + Hands-on + Writing</t>
  </si>
  <si>
    <t xml:space="preserve">Draw a packet journey diagram for a small office and label which devices operate at which layer.</t>
  </si>
  <si>
    <t xml:space="preserve">Teach back the difference between topology, medium, device role, and protocol in one page.</t>
  </si>
  <si>
    <t xml:space="preserve">Recall this week from memory, quiz yourself on the weak spots, redo the most useful exercise, and clean up your notes for networking foundations: models, media, devices, and topologies.</t>
  </si>
  <si>
    <t xml:space="preserve">Add a short journal entry: What improved this week? What still needs another pass before moving on? Checkpoint target: Can describe how data moves through a simple network.</t>
  </si>
  <si>
    <t xml:space="preserve">Study frames, MAC addresses, switching, ARP, broadcasts, and local network communication.</t>
  </si>
  <si>
    <t xml:space="preserve">End-of-day question: What one concept from ethernet, switching, routing, and gateways still feels fuzzy, and what will you revisit tomorrow?</t>
  </si>
  <si>
    <t xml:space="preserve">Cisco basic switch configuration lab</t>
  </si>
  <si>
    <t xml:space="preserve">Learn gateways, routing basics, and why traffic must leave one network to reach another.</t>
  </si>
  <si>
    <t xml:space="preserve">Review device CLI concepts and how network equipment is configured and managed.</t>
  </si>
  <si>
    <t xml:space="preserve">Complete a basic switch or router lab and document each command you used and why it mattered.</t>
  </si>
  <si>
    <t xml:space="preserve">Write a comparison sheet for Layer 2 versus Layer 3 decisions in a small network.</t>
  </si>
  <si>
    <t xml:space="preserve">Recall this week from memory, quiz yourself on the weak spots, redo the most useful exercise, and clean up your notes for ethernet, switching, routing, and gateways.</t>
  </si>
  <si>
    <t xml:space="preserve">Add a short journal entry: What improved this week? What still needs another pass before moving on? Checkpoint target: Can explain when a switch is enough and when a router is required.</t>
  </si>
  <si>
    <t xml:space="preserve">Study IPv4 structure, binary thinking, CIDR notation, subnet masks, and private vs public addressing.</t>
  </si>
  <si>
    <t xml:space="preserve">End-of-day question: What one concept from ipv4 addressing, subnetting, and address planning still feels fuzzy, and what will you revisit tomorrow?</t>
  </si>
  <si>
    <t xml:space="preserve">Professor Messer Network+ (subnetting refresh)</t>
  </si>
  <si>
    <t xml:space="preserve">Practice network IDs, host ranges, broadcast addresses, and default gateway selection.</t>
  </si>
  <si>
    <t xml:space="preserve">Run subnetting drills until you can solve small-office examples without panic.</t>
  </si>
  <si>
    <t xml:space="preserve">Design an address plan for a home office or club network with separate groups of devices.</t>
  </si>
  <si>
    <t xml:space="preserve">Reading + Writing</t>
  </si>
  <si>
    <t xml:space="preserve">Teach subnetting back in plain language and list the common mistakes you now know to avoid.</t>
  </si>
  <si>
    <t xml:space="preserve">Recall this week from memory, quiz yourself on the weak spots, redo the most useful exercise, and clean up your notes for ipv4 addressing, subnetting, and address planning.</t>
  </si>
  <si>
    <t xml:space="preserve">Add a short journal entry: What improved this week? What still needs another pass before moving on? Checkpoint target: Can read and plan IPv4 subnets for small environments.</t>
  </si>
  <si>
    <t xml:space="preserve">Study TCP versus UDP, session setup, reliability, and why transport choices matter.</t>
  </si>
  <si>
    <t xml:space="preserve">End-of-day question: What one concept from tcp, udp, ports, dns, dhcp, nat, and service flow still feels fuzzy, and what will you revisit tomorrow?</t>
  </si>
  <si>
    <t xml:space="preserve">Cisco trace route lab</t>
  </si>
  <si>
    <t xml:space="preserve">Learn DNS, DHCP, NAT, NTP, and the role each service plays in everyday network use.</t>
  </si>
  <si>
    <t xml:space="preserve">Review common ports and secure alternatives, then update your ports and protocols sheet.</t>
  </si>
  <si>
    <t xml:space="preserve">Use ping, traceroute, nslookup / dig, or similar tools and record what each tool reveals.</t>
  </si>
  <si>
    <t xml:space="preserve">Write a concise explanation of how a device gets an IP, resolves a name, and reaches a website.</t>
  </si>
  <si>
    <t xml:space="preserve">Recall this week from memory, quiz yourself on the weak spots, redo the most useful exercise, and clean up your notes for tcp, udp, ports, dns, dhcp, nat, and service flow.</t>
  </si>
  <si>
    <t xml:space="preserve">Add a short journal entry: What improved this week? What still needs another pass before moving on? Checkpoint target: Can narrate the service path from 'join network' to 'page loads.'</t>
  </si>
  <si>
    <t xml:space="preserve">Study Wi-Fi standards, authentication, encryption, and common wireless mistakes.</t>
  </si>
  <si>
    <t xml:space="preserve">End-of-day question: What one concept from wireless, soho design, cloud, and network security basics still feels fuzzy, and what will you revisit tomorrow?</t>
  </si>
  <si>
    <t xml:space="preserve">Wireshark download</t>
  </si>
  <si>
    <t xml:space="preserve">Review SOHO design choices, firewall basics, segmentation, VPN ideas, and secure remote access.</t>
  </si>
  <si>
    <t xml:space="preserve">Cover cloud, virtualization, availability, and what changes when infrastructure becomes shared or hosted.</t>
  </si>
  <si>
    <t xml:space="preserve">Harden a home router or draft a hardening checklist if you cannot access your own equipment.</t>
  </si>
  <si>
    <t xml:space="preserve">Write a security checklist for a tiny office with employees, guests, printers, and shared Wi-Fi.</t>
  </si>
  <si>
    <t xml:space="preserve">Recall this week from memory, quiz yourself on the weak spots, redo the most useful exercise, and clean up your notes for wireless, soho design, cloud, and network security basics.</t>
  </si>
  <si>
    <t xml:space="preserve">Add a short journal entry: What improved this week? What still needs another pass before moving on? Checkpoint target: Can explain baseline protections for a small office or home network.</t>
  </si>
  <si>
    <t xml:space="preserve">Install Wireshark, learn the interface, and capture a simple local session or safe test traffic.</t>
  </si>
  <si>
    <t xml:space="preserve">End-of-day question: What one concept from wireshark and troubleshooting with packet evidence still feels fuzzy, and what will you revisit tomorrow?</t>
  </si>
  <si>
    <t xml:space="preserve">Cisco Wireshark introduction lab</t>
  </si>
  <si>
    <t xml:space="preserve">Inspect ICMP, DNS, and HTTP / HTTPS traffic and note what fields help you identify each protocol.</t>
  </si>
  <si>
    <t xml:space="preserve">Practice filters, follow streams, conversations, endpoints, and basic evidence-taking habits.</t>
  </si>
  <si>
    <t xml:space="preserve">Complete a guided Wireshark lab and annotate screenshots to show what you observed.</t>
  </si>
  <si>
    <t xml:space="preserve">Write a plain-English 'packet story' describing one complete transaction from query to response.</t>
  </si>
  <si>
    <t xml:space="preserve">Recall this week from memory, quiz yourself on the weak spots, redo the most useful exercise, and clean up your notes for wireshark and troubleshooting with packet evidence.</t>
  </si>
  <si>
    <t xml:space="preserve">Add a short journal entry: What improved this week? What still needs another pass before moving on? Checkpoint target: Can use packet captures to support an explanation instead of guessing.</t>
  </si>
  <si>
    <t xml:space="preserve">Complete the Pre Security networking or web sections that reinforce how systems talk to each other.</t>
  </si>
  <si>
    <t xml:space="preserve">End-of-day question: What one concept from tryhackme pre security and end-to-end web request capstone still feels fuzzy, and what will you revisit tomorrow?</t>
  </si>
  <si>
    <t xml:space="preserve">Professor Messer Network+ (concept refresh)</t>
  </si>
  <si>
    <t xml:space="preserve">Break down a web request step by step: local stack, DNS, routing, TLS, HTTP, and page rendering.</t>
  </si>
  <si>
    <t xml:space="preserve">Revisit operating systems and attack surface ideas that connect networking to later security work.</t>
  </si>
  <si>
    <t xml:space="preserve">Finish any remaining rooms or notes needed to close the networking block cleanly.</t>
  </si>
  <si>
    <t xml:space="preserve">Produce a capstone explainer that walks a nontechnical stakeholder through what happens when a user visits a site.</t>
  </si>
  <si>
    <t xml:space="preserve">Recall this week from memory, quiz yourself on the weak spots, redo the most useful exercise, and clean up your notes for tryhackme pre security and end-to-end web request capstone.</t>
  </si>
  <si>
    <t xml:space="preserve">Add a short journal entry: What improved this week? What still needs another pass before moving on? Checkpoint target: Can explain internet plumbing clearly enough for a manager.</t>
  </si>
  <si>
    <t xml:space="preserve">Complete the first half of Course 1 and note key terms about analyst roles, domains, and why the field exists.</t>
  </si>
  <si>
    <t xml:space="preserve">End-of-day question: What one concept from google course 1: foundations of cybersecurity still feels fuzzy, and what will you revisit tomorrow?</t>
  </si>
  <si>
    <t xml:space="preserve">Professor Messer Security+</t>
  </si>
  <si>
    <t xml:space="preserve">Complete the rest of Course 1, including tools, ethics, frameworks, and the CIA triad.</t>
  </si>
  <si>
    <t xml:space="preserve">Condense the big ideas into one page: roles, domains, tools, ethics, and framework language.</t>
  </si>
  <si>
    <t xml:space="preserve">Create the professional statement portfolio item from the course and make it sound like you.</t>
  </si>
  <si>
    <t xml:space="preserve">Write a manager-ready summary of why cybersecurity matters to operations and trust.</t>
  </si>
  <si>
    <t xml:space="preserve">Recall this week from memory, quiz yourself on the weak spots, redo the most useful exercise, and clean up your notes for google course 1: foundations of cybersecurity.</t>
  </si>
  <si>
    <t xml:space="preserve">Add a short journal entry: What improved this week? What still needs another pass before moving on? Checkpoint target: Can define cybersecurity in business terms, not just technical terms.</t>
  </si>
  <si>
    <t xml:space="preserve">Study threats, risks, vulnerabilities, and how security teams think about exposure and business impact.</t>
  </si>
  <si>
    <t xml:space="preserve">End-of-day question: What one concept from google course 2: play it safe - manage security risks still feels fuzzy, and what will you revisit tomorrow?</t>
  </si>
  <si>
    <t xml:space="preserve">Security Journal sheet in this workbook</t>
  </si>
  <si>
    <t xml:space="preserve">Cover controls, frameworks, SIEM ideas, and playbooks used to structure responses.</t>
  </si>
  <si>
    <t xml:space="preserve">Build a simple risk register with asset, threat, control, likelihood, impact, and owner.</t>
  </si>
  <si>
    <t xml:space="preserve">Apply the course ideas to a small-business scenario and choose which controls you would prioritize first.</t>
  </si>
  <si>
    <t xml:space="preserve">Write a management summary that argues for the top three actions to reduce risk.</t>
  </si>
  <si>
    <t xml:space="preserve">Recall this week from memory, quiz yourself on the weak spots, redo the most useful exercise, and clean up your notes for google course 2: play it safe - manage security risks.</t>
  </si>
  <si>
    <t xml:space="preserve">Add a short journal entry: What improved this week? What still needs another pass before moving on? Checkpoint target: Can distinguish risk from vulnerability and link controls to business priorities.</t>
  </si>
  <si>
    <t xml:space="preserve">Work through network components, data movement, and secure design ideas in the Google course.</t>
  </si>
  <si>
    <t xml:space="preserve">End-of-day question: What one concept from google course 3: networks and network security still feels fuzzy, and what will you revisit tomorrow?</t>
  </si>
  <si>
    <t xml:space="preserve">Video + Reading + Hands-on</t>
  </si>
  <si>
    <t xml:space="preserve">Study hardening, network controls, segmentation, VPNs, firewalls, and intrusion-related concepts.</t>
  </si>
  <si>
    <t xml:space="preserve">Connect the Google security view back to your Cisco networking notes and close any conceptual gaps.</t>
  </si>
  <si>
    <t xml:space="preserve">Review your home or small-office network through a security lens and list weak points.</t>
  </si>
  <si>
    <t xml:space="preserve">Turn the week into a hardening checklist you could hand to a small organization.</t>
  </si>
  <si>
    <t xml:space="preserve">Recall this week from memory, quiz yourself on the weak spots, redo the most useful exercise, and clean up your notes for google course 3: networks and network security.</t>
  </si>
  <si>
    <t xml:space="preserve">Add a short journal entry: What improved this week? What still needs another pass before moving on? Checkpoint target: Can describe how network design choices affect security outcomes.</t>
  </si>
  <si>
    <t xml:space="preserve">Complete the Linux navigation modules and reinforce directory movement, files, and help systems.</t>
  </si>
  <si>
    <t xml:space="preserve">End-of-day question: What one concept from google course 4: linux and sql (part 1 - linux) still feels fuzzy, and what will you revisit tomorrow?</t>
  </si>
  <si>
    <t xml:space="preserve">Cover permissions, users, groups, authentication, and why least privilege matters in practice.</t>
  </si>
  <si>
    <t xml:space="preserve">Review processes, services, package ideas, and command-line workflows that security analysts use often.</t>
  </si>
  <si>
    <t xml:space="preserve">Run terminal drills in your Ubuntu VM until the commands feel normal instead of fragile.</t>
  </si>
  <si>
    <t xml:space="preserve">Compile the week's commands into a notebook with what each one is for and when to avoid it.</t>
  </si>
  <si>
    <t xml:space="preserve">Recall this week from memory, quiz yourself on the weak spots, redo the most useful exercise, and clean up your notes for google course 4: linux and sql (part 1 - linux).</t>
  </si>
  <si>
    <t xml:space="preserve">Add a short journal entry: What improved this week? What still needs another pass before moving on? Checkpoint target: Can navigate Linux and explain permissions without memorizing blindly.</t>
  </si>
  <si>
    <t xml:space="preserve">Study SQL basics: tables, rows, columns, SELECT, FROM, WHERE, and sorting or filtering results.</t>
  </si>
  <si>
    <t xml:space="preserve">End-of-day question: What one concept from google course 4: linux and sql (part 2 - sql) still feels fuzzy, and what will you revisit tomorrow?</t>
  </si>
  <si>
    <t xml:space="preserve">Practice joins and think about how security data may be stored and queried.</t>
  </si>
  <si>
    <t xml:space="preserve">Do mixed Linux-plus-SQL practice so you can switch between shell thinking and query thinking.</t>
  </si>
  <si>
    <t xml:space="preserve">Run a set of simple SQL queries and save the ones you would want as future templates.</t>
  </si>
  <si>
    <t xml:space="preserve">Write a short note on when a task is better solved with Linux commands versus SQL queries.</t>
  </si>
  <si>
    <t xml:space="preserve">Recall this week from memory, quiz yourself on the weak spots, redo the most useful exercise, and clean up your notes for google course 4: linux and sql (part 2 - sql).</t>
  </si>
  <si>
    <t xml:space="preserve">Add a short journal entry: What improved this week? What still needs another pass before moving on? Checkpoint target: Can read and write basic SQL queries for security-relevant data.</t>
  </si>
  <si>
    <t xml:space="preserve">Study asset types, asset ownership, and why organizations classify what they need to protect.</t>
  </si>
  <si>
    <t xml:space="preserve">End-of-day question: What one concept from google course 5: assets, threats, and vulnerabilities (part 1) still feels fuzzy, and what will you revisit tomorrow?</t>
  </si>
  <si>
    <t xml:space="preserve">Cover data lifecycle, data handling, privacy expectations, and practical asset security ideas.</t>
  </si>
  <si>
    <t xml:space="preserve">Review classification schemes, ownership, and how handling rules connect to business risk.</t>
  </si>
  <si>
    <t xml:space="preserve">Inventory the assets in a home, school, or club network and group them by criticality.</t>
  </si>
  <si>
    <t xml:space="preserve">Write simple handling rules for sensitive, internal, and public data.</t>
  </si>
  <si>
    <t xml:space="preserve">Recall this week from memory, quiz yourself on the weak spots, redo the most useful exercise, and clean up your notes for google course 5: assets, threats, and vulnerabilities (part 1).</t>
  </si>
  <si>
    <t xml:space="preserve">Add a short journal entry: What improved this week? What still needs another pass before moving on? Checkpoint target: Can classify assets and explain why not all data deserves the same treatment.</t>
  </si>
  <si>
    <t xml:space="preserve">Study vulnerabilities, attack surfaces, exposure management, and basic threat actor categories.</t>
  </si>
  <si>
    <t xml:space="preserve">End-of-day question: What one concept from google course 5: assets, threats, and vulnerabilities (part 2) still feels fuzzy, and what will you revisit tomorrow?</t>
  </si>
  <si>
    <t xml:space="preserve">Cover OWASP, scanning, testing, updates, and how weaknesses become exploitable paths.</t>
  </si>
  <si>
    <t xml:space="preserve">Adopt an attacker mindset and list likely attack vectors for a small organization.</t>
  </si>
  <si>
    <t xml:space="preserve">Analyze a vulnerable scenario and note which controls would reduce the most risk first.</t>
  </si>
  <si>
    <t xml:space="preserve">Write a mini threat model that includes assets, likely threats, weak points, and mitigations.</t>
  </si>
  <si>
    <t xml:space="preserve">Recall this week from memory, quiz yourself on the weak spots, redo the most useful exercise, and clean up your notes for google course 5: assets, threats, and vulnerabilities (part 2).</t>
  </si>
  <si>
    <t xml:space="preserve">Add a short journal entry: What improved this week? What still needs another pass before moving on? Checkpoint target: Can reason from asset to attacker to mitigation.</t>
  </si>
  <si>
    <t xml:space="preserve">Study the incident lifecycle and the difference between detection, containment, eradication, and recovery.</t>
  </si>
  <si>
    <t xml:space="preserve">End-of-day question: What one concept from google course 6: detection and response (part 1) still feels fuzzy, and what will you revisit tomorrow?</t>
  </si>
  <si>
    <t xml:space="preserve">Work through logs, alerts, IDS / NIDS ideas, packets, and why visibility matters so much.</t>
  </si>
  <si>
    <t xml:space="preserve">Learn the basic logic of SIEM investigation, search, and alert triage.</t>
  </si>
  <si>
    <t xml:space="preserve">Do a packet or log investigation exercise and record what evidence led you to each conclusion.</t>
  </si>
  <si>
    <t xml:space="preserve">Draft a one-page incident response playbook for a common event such as phishing or malware.</t>
  </si>
  <si>
    <t xml:space="preserve">Recall this week from memory, quiz yourself on the weak spots, redo the most useful exercise, and clean up your notes for google course 6: detection and response (part 1).</t>
  </si>
  <si>
    <t xml:space="preserve">Add a short journal entry: What improved this week? What still needs another pass before moving on? Checkpoint target: Can outline the incident lifecycle and the evidence sources used along the way.</t>
  </si>
  <si>
    <t xml:space="preserve">Continue Course 6 and focus on escalation, prioritization, and the cost of delayed action.</t>
  </si>
  <si>
    <t xml:space="preserve">End-of-day question: What one concept from google course 6: detection and response (part 2) still feels fuzzy, and what will you revisit tomorrow?</t>
  </si>
  <si>
    <t xml:space="preserve">Study containment choices and how responders balance speed, evidence, and business continuity.</t>
  </si>
  <si>
    <t xml:space="preserve">Turn alerts into decisions by drafting an escalation matrix with severity guidance.</t>
  </si>
  <si>
    <t xml:space="preserve">Reinforce the week with one defensive-security or log-focused exercise.</t>
  </si>
  <si>
    <t xml:space="preserve">Write a manager-friendly incident summary with findings, impact, actions, and next steps.</t>
  </si>
  <si>
    <t xml:space="preserve">Recall this week from memory, quiz yourself on the weak spots, redo the most useful exercise, and clean up your notes for google course 6: detection and response (part 2).</t>
  </si>
  <si>
    <t xml:space="preserve">Add a short journal entry: What improved this week? What still needs another pass before moving on? Checkpoint target: Can explain how a SOC turns alerts into actions and communications.</t>
  </si>
  <si>
    <t xml:space="preserve">Start Python with variables, data types, and the mental model of reading and writing simple code.</t>
  </si>
  <si>
    <t xml:space="preserve">End-of-day question: What one concept from google course 7: python automation (part 1) still feels fuzzy, and what will you revisit tomorrow?</t>
  </si>
  <si>
    <t xml:space="preserve">Google Cybersecurity Certificate</t>
  </si>
  <si>
    <t xml:space="preserve">Cover conditionals, loops, and functions, focusing on readability rather than cleverness.</t>
  </si>
  <si>
    <t xml:space="preserve">Practice strings, lists, dictionaries, and data you might see in security workflows.</t>
  </si>
  <si>
    <t xml:space="preserve">Code along with the course and test tiny examples until errors feel fixable instead of mysterious.</t>
  </si>
  <si>
    <t xml:space="preserve">Save your cleanest examples in a notebook you can revisit later.</t>
  </si>
  <si>
    <t xml:space="preserve">Recall this week from memory, quiz yourself on the weak spots, redo the most useful exercise, and clean up your notes for google course 7: python automation (part 1).</t>
  </si>
  <si>
    <t xml:space="preserve">Add a short journal entry: What improved this week? What still needs another pass before moving on? Checkpoint target: Can read and modify short Python scripts without freezing.</t>
  </si>
  <si>
    <t xml:space="preserve">Study files, regular expressions, and simple parsing tasks that show up in operations and analysis work.</t>
  </si>
  <si>
    <t xml:space="preserve">End-of-day question: What one concept from google course 7: python automation (part 2) still feels fuzzy, and what will you revisit tomorrow?</t>
  </si>
  <si>
    <t xml:space="preserve">Focus on debugging, breaking a task into steps, and documenting what your script is meant to do.</t>
  </si>
  <si>
    <t xml:space="preserve">Choose one small cybersecurity-style automation task and sketch the logic before coding.</t>
  </si>
  <si>
    <t xml:space="preserve">Build or finish the portfolio automation task and test it carefully with sample inputs.</t>
  </si>
  <si>
    <t xml:space="preserve">Write a short explanation of what your script automates and where it could be improved later.</t>
  </si>
  <si>
    <t xml:space="preserve">Recall this week from memory, quiz yourself on the weak spots, redo the most useful exercise, and clean up your notes for google course 7: python automation (part 2).</t>
  </si>
  <si>
    <t xml:space="preserve">Add a short journal entry: What improved this week? What still needs another pass before moving on? Checkpoint target: Can connect automation ideas to real analyst workflows.</t>
  </si>
  <si>
    <t xml:space="preserve">Study escalation, communication, and how analysts document and hand off work in real teams.</t>
  </si>
  <si>
    <t xml:space="preserve">End-of-day question: What one concept from google course 8: prepare for cybersecurity jobs still feels fuzzy, and what will you revisit tomorrow?</t>
  </si>
  <si>
    <t xml:space="preserve">Work on the portfolio guidance and interview-prep material in the course.</t>
  </si>
  <si>
    <t xml:space="preserve">Turn your course outputs into STAR-style stories you could use in interviews.</t>
  </si>
  <si>
    <t xml:space="preserve">Rewrite resume bullets around evidence: labs, diagrams, risk registers, journal summaries, and scripts.</t>
  </si>
  <si>
    <t xml:space="preserve">Answer five likely interview questions in writing and tighten weak answers.</t>
  </si>
  <si>
    <t xml:space="preserve">Recall this week from memory, quiz yourself on the weak spots, redo the most useful exercise, and clean up your notes for google course 8: prepare for cybersecurity jobs.</t>
  </si>
  <si>
    <t xml:space="preserve">Add a short journal entry: What improved this week? What still needs another pass before moving on? Checkpoint target: Can talk about your work in evidence-based, employer-friendly language.</t>
  </si>
  <si>
    <t xml:space="preserve">Work through the job-search system ideas and decide how you will track applications and target roles.</t>
  </si>
  <si>
    <t xml:space="preserve">End-of-day question: What one concept from google course 9: job search systems, ai support, and profile polish still feels fuzzy, and what will you revisit tomorrow?</t>
  </si>
  <si>
    <t xml:space="preserve">Use AI support carefully to refine resume language, but keep the evidence and voice truthful and yours.</t>
  </si>
  <si>
    <t xml:space="preserve">Refresh your LinkedIn headline, about section, projects, and course completions.</t>
  </si>
  <si>
    <t xml:space="preserve">Build a job-search kit: resume, short bio, portfolio links, and application tracker.</t>
  </si>
  <si>
    <t xml:space="preserve">Create a shortlist of target roles and required skills for the next 90 days.</t>
  </si>
  <si>
    <t xml:space="preserve">Recall this week from memory, quiz yourself on the weak spots, redo the most useful exercise, and clean up your notes for google course 9: job search systems, ai support, and profile polish.</t>
  </si>
  <si>
    <t xml:space="preserve">Add a short journal entry: What improved this week? What still needs another pass before moving on? Checkpoint target: Your online profile and job-search system are live and usable.</t>
  </si>
  <si>
    <t xml:space="preserve">Review identity and access management: authentication, authorization, accounting, SSO, MFA, and least privilege.</t>
  </si>
  <si>
    <t xml:space="preserve">End-of-day question: What one concept from security+ reinforcement: iam, crypto, and social engineering still feels fuzzy, and what will you revisit tomorrow?</t>
  </si>
  <si>
    <t xml:space="preserve">Reinforce cryptography ideas, key exchange, certificates, hashing, and where each concept is used.</t>
  </si>
  <si>
    <t xml:space="preserve">Study social engineering, user behavior, and why awareness and process are management problems too.</t>
  </si>
  <si>
    <t xml:space="preserve">Compare how Google and Security+ frame the same ideas and create a translation sheet for terms.</t>
  </si>
  <si>
    <t xml:space="preserve">Write a concise principles brief covering IAM, crypto, and social engineering in manager-friendly language.</t>
  </si>
  <si>
    <t xml:space="preserve">Recall this week from memory, quiz yourself on the weak spots, redo the most useful exercise, and clean up your notes for security+ reinforcement: iam, crypto, and social engineering.</t>
  </si>
  <si>
    <t xml:space="preserve">Add a short journal entry: What improved this week? What still needs another pass before moving on? Checkpoint target: Can explain core defensive principles clearly and consistently.</t>
  </si>
  <si>
    <t xml:space="preserve">Complete selected Cyber Security 101 modules that consolidate networking, crypto, and system basics.</t>
  </si>
  <si>
    <t xml:space="preserve">End-of-day question: What one concept from tryhackme cyber security 101 + breach journal capstone still feels fuzzy, and what will you revisit tomorrow?</t>
  </si>
  <si>
    <t xml:space="preserve">Use the path to refresh Windows, Linux, Active Directory, and command-line fundamentals.</t>
  </si>
  <si>
    <t xml:space="preserve">Review offensive versus defensive concepts so you can explain what defenders are trying to prevent or detect.</t>
  </si>
  <si>
    <t xml:space="preserve">Add three real breach summaries to your Security Journal with root cause and control recommendations.</t>
  </si>
  <si>
    <t xml:space="preserve">Prepare a short management briefing using your journal entries and the language of risk and controls.</t>
  </si>
  <si>
    <t xml:space="preserve">Recall this week from memory, quiz yourself on the weak spots, redo the most useful exercise, and clean up your notes for tryhackme cyber security 101 + breach journal capstone.</t>
  </si>
  <si>
    <t xml:space="preserve">Add a short journal entry: What improved this week? What still needs another pass before moving on? Checkpoint target: Can translate technical incidents into management language.</t>
  </si>
  <si>
    <t xml:space="preserve">Review CISA incident-response materials and note the roles, phases, and preparation requirements they emphasize.</t>
  </si>
  <si>
    <t xml:space="preserve">End-of-day question: What one concept from cisa incident response materials and playbook thinking still feels fuzzy, and what will you revisit tomorrow?</t>
  </si>
  <si>
    <t xml:space="preserve">CISA Learning</t>
  </si>
  <si>
    <t xml:space="preserve">Study playbooks, reporting expectations, and how teams coordinate under pressure.</t>
  </si>
  <si>
    <t xml:space="preserve">Read the ransomware response guidance and pull out the highest-value leadership actions.</t>
  </si>
  <si>
    <t xml:space="preserve">Adapt the lessons into a small-organization response checklist with owners and triggers.</t>
  </si>
  <si>
    <t xml:space="preserve">Package the week into an incident-response checklist and roles matrix.</t>
  </si>
  <si>
    <t xml:space="preserve">Recall this week from memory, quiz yourself on the weak spots, redo the most useful exercise, and clean up your notes for cisa incident response materials and playbook thinking.</t>
  </si>
  <si>
    <t xml:space="preserve">Add a short journal entry: What improved this week? What still needs another pass before moving on? Checkpoint target: Can think about incidents in terms of preparation, roles, and business continuity.</t>
  </si>
  <si>
    <t xml:space="preserve">Study how CISA frames critical infrastructure and why resilience matters beyond one company or toolset.</t>
  </si>
  <si>
    <t xml:space="preserve">End-of-day question: What one concept from critical infrastructure, governance, risk, and assessment mindset still feels fuzzy, and what will you revisit tomorrow?</t>
  </si>
  <si>
    <t xml:space="preserve">CSET fact sheet</t>
  </si>
  <si>
    <t xml:space="preserve">Translate this into governance language: assets, dependencies, controls, risk owners, and oversight.</t>
  </si>
  <si>
    <t xml:space="preserve">Review the CSET idea and how assessments structure questions about maturity and control coverage.</t>
  </si>
  <si>
    <t xml:space="preserve">Build a small risk register and control map for a fictional or familiar organization.</t>
  </si>
  <si>
    <t xml:space="preserve">Write an executive summary for protecting critical systems and services.</t>
  </si>
  <si>
    <t xml:space="preserve">Recall this week from memory, quiz yourself on the weak spots, redo the most useful exercise, and clean up your notes for critical infrastructure, governance, risk, and assessment mindset.</t>
  </si>
  <si>
    <t xml:space="preserve">Add a short journal entry: What improved this week? What still needs another pass before moving on? Checkpoint target: Can talk about cyber in governance and resilience terms, not just tools.</t>
  </si>
  <si>
    <t xml:space="preserve">Complete the SOC fundamentals content and note who does what inside a defensive team.</t>
  </si>
  <si>
    <t xml:space="preserve">End-of-day question: What one concept from tryhackme defensive security: soc, forensics, ir, and logs still feels fuzzy, and what will you revisit tomorrow?</t>
  </si>
  <si>
    <t xml:space="preserve">Work through digital forensics fundamentals and evidence-handling basics.</t>
  </si>
  <si>
    <t xml:space="preserve">Complete incident-response fundamentals and compare them to your CISA notes.</t>
  </si>
  <si>
    <t xml:space="preserve">Finish the logs fundamentals content and capture the workflow you used to interpret evidence.</t>
  </si>
  <si>
    <t xml:space="preserve">Write a plain-language description of how a SOC receives, triages, investigates, and escalates.</t>
  </si>
  <si>
    <t xml:space="preserve">Recall this week from memory, quiz yourself on the weak spots, redo the most useful exercise, and clean up your notes for tryhackme defensive security: soc, forensics, ir, and logs.</t>
  </si>
  <si>
    <t xml:space="preserve">Add a short journal entry: What improved this week? What still needs another pass before moving on? Checkpoint target: Can describe a defensive workflow from alert to escalation.</t>
  </si>
  <si>
    <t xml:space="preserve">Polish your resume, LinkedIn, and portfolio artifacts so they tell one coherent story.</t>
  </si>
  <si>
    <t xml:space="preserve">End-of-day question: What one concept from portfolio packaging, mock briefing, and next-step planning still feels fuzzy, and what will you revisit tomorrow?</t>
  </si>
  <si>
    <t xml:space="preserve">Hands-on + Writing</t>
  </si>
  <si>
    <t xml:space="preserve">Pick your strongest artifacts from the workbook and tighten the explanations around them.</t>
  </si>
  <si>
    <t xml:space="preserve">Run a mock management briefing or interview using your breach journal, risk register, and IR playbook.</t>
  </si>
  <si>
    <t xml:space="preserve">Choose your next path after this plan: A+, Network+, Security+, CCST Networking, or deeper SOC work.</t>
  </si>
  <si>
    <t xml:space="preserve">Writing</t>
  </si>
  <si>
    <t xml:space="preserve">Write a 90-day next-step plan with target skills, proof of work, and exam or project milestones.</t>
  </si>
  <si>
    <t xml:space="preserve">Recall this week from memory, quiz yourself on the weak spots, redo the most useful exercise, and clean up your notes for portfolio packaging, mock briefing, and next-step planning.</t>
  </si>
  <si>
    <t xml:space="preserve">Add a short journal entry: What improved this week? What still needs another pass before moving on? Checkpoint target: You have a usable portfolio and a credible next-step roadmap.</t>
  </si>
  <si>
    <t xml:space="preserve">Finish any incomplete tasks from the previous weeks and clean up loose notes or half-finished deliverables.</t>
  </si>
  <si>
    <t xml:space="preserve">End-of-day question: What one concept from catch-up, comprehensive review, and study-system reset still feels fuzzy, and what will you revisit tomorrow?</t>
  </si>
  <si>
    <t xml:space="preserve">Whichever course or lab still needs attention</t>
  </si>
  <si>
    <t xml:space="preserve">Run a final review of foundations: hardware, OS, Linux basics, and troubleshooting process.</t>
  </si>
  <si>
    <t xml:space="preserve">Run a final review of networking: layers, addressing, protocols, services, and packet evidence.</t>
  </si>
  <si>
    <t xml:space="preserve">Run a final review of security and GRC: risk, controls, IAM, crypto, incident response, and management summaries.</t>
  </si>
  <si>
    <t xml:space="preserve">Write a retrospective on what worked, what did not, and how you will keep learning after the roadmap ends.</t>
  </si>
  <si>
    <t xml:space="preserve">Recall this week from memory, quiz yourself on the weak spots, redo the most useful exercise, and clean up your notes for catch-up, comprehensive review, and study-system reset.</t>
  </si>
  <si>
    <t xml:space="preserve">Add a short journal entry: What improved this week? What still needs another pass before moving on? Checkpoint target: Everything is either complete or deliberately parked with a next step.</t>
  </si>
  <si>
    <t xml:space="preserve">Website Companion Map</t>
  </si>
  <si>
    <t xml:space="preserve">Use this sheet to turn each week into a public portfolio page or private study-companion page. Core pages are listed first; week pages follow.</t>
  </si>
  <si>
    <t xml:space="preserve">Type</t>
  </si>
  <si>
    <t xml:space="preserve">Site section</t>
  </si>
  <si>
    <t xml:space="preserve">Suggested page title</t>
  </si>
  <si>
    <t xml:space="preserve">Slug</t>
  </si>
  <si>
    <t xml:space="preserve">What to publish</t>
  </si>
  <si>
    <t xml:space="preserve">Evidence / assets</t>
  </si>
  <si>
    <t xml:space="preserve">Publish when</t>
  </si>
  <si>
    <t xml:space="preserve">Portfolio angle</t>
  </si>
  <si>
    <t xml:space="preserve">Core</t>
  </si>
  <si>
    <t xml:space="preserve">Core site</t>
  </si>
  <si>
    <t xml:space="preserve">Home</t>
  </si>
  <si>
    <t xml:space="preserve">Cybersecurity Study Companion</t>
  </si>
  <si>
    <t xml:space="preserve">/</t>
  </si>
  <si>
    <t xml:space="preserve">Short intro, current week, progress snapshot, why this roadmap matters</t>
  </si>
  <si>
    <t xml:space="preserve">Headshot optional, current focus, CTA buttons</t>
  </si>
  <si>
    <t xml:space="preserve">Before Week 1</t>
  </si>
  <si>
    <t xml:space="preserve">Landing page and study dashboard</t>
  </si>
  <si>
    <t xml:space="preserve">Roadmap</t>
  </si>
  <si>
    <t xml:space="preserve">32-Week Roadmap</t>
  </si>
  <si>
    <t xml:space="preserve">/roadmap/</t>
  </si>
  <si>
    <t xml:space="preserve">High-level phase timeline and all week cards</t>
  </si>
  <si>
    <t xml:space="preserve">Phase summaries, week index, timeline graphic optional</t>
  </si>
  <si>
    <t xml:space="preserve">Shows program structure and pacing</t>
  </si>
  <si>
    <t xml:space="preserve">Resources</t>
  </si>
  <si>
    <t xml:space="preserve">Resource Hub</t>
  </si>
  <si>
    <t xml:space="preserve">/resources/</t>
  </si>
  <si>
    <t xml:space="preserve">Curated links grouped by Foundation, Networking, Security, and GRC</t>
  </si>
  <si>
    <t xml:space="preserve">Course links, tools, notes on why each resource matters</t>
  </si>
  <si>
    <t xml:space="preserve">Useful evergreen reference page</t>
  </si>
  <si>
    <t xml:space="preserve">Security Journal</t>
  </si>
  <si>
    <t xml:space="preserve">/security-journal/</t>
  </si>
  <si>
    <t xml:space="preserve">Breach summaries, management takeaways, and control recommendations</t>
  </si>
  <si>
    <t xml:space="preserve">Journal entries, source links, tags by theme</t>
  </si>
  <si>
    <t xml:space="preserve">Start Week 13</t>
  </si>
  <si>
    <t xml:space="preserve">Demonstrates manager-ready thinking</t>
  </si>
  <si>
    <t xml:space="preserve">Progress</t>
  </si>
  <si>
    <t xml:space="preserve">Progress Tracker</t>
  </si>
  <si>
    <t xml:space="preserve">/progress/</t>
  </si>
  <si>
    <t xml:space="preserve">Completed days, completed weeks, current streak, next deliverable</t>
  </si>
  <si>
    <t xml:space="preserve">Progress widgets, filters, export/reset controls</t>
  </si>
  <si>
    <t xml:space="preserve">Turns the site into a study companion</t>
  </si>
  <si>
    <t xml:space="preserve">About / Portfolio</t>
  </si>
  <si>
    <t xml:space="preserve">About This Journey</t>
  </si>
  <si>
    <t xml:space="preserve">/about/</t>
  </si>
  <si>
    <t xml:space="preserve">Your background, why cyber, target roles, and what this site documents</t>
  </si>
  <si>
    <t xml:space="preserve">Bio, goals, resume link optional</t>
  </si>
  <si>
    <t xml:space="preserve">Week 1 or Week 31</t>
  </si>
  <si>
    <t xml:space="preserve">Makes the site portfolio-ready</t>
  </si>
  <si>
    <t xml:space="preserve">Weeks / Foundation</t>
  </si>
  <si>
    <t xml:space="preserve">Week 01 - A+ Core 1: hardware, boot process, and internal components</t>
  </si>
  <si>
    <t xml:space="preserve">/weeks/week-01-a-core-1-hardware-boot-process-and-internal-components/</t>
  </si>
  <si>
    <t xml:space="preserve">Publish your weekly summary, key concepts, and the main artifact: Hardware glossary + power-on-to-login diagram.</t>
  </si>
  <si>
    <t xml:space="preserve">Exported artifact image or PDF; Reflection paragraph</t>
  </si>
  <si>
    <t xml:space="preserve">End of Week 01 review day</t>
  </si>
  <si>
    <t xml:space="preserve">Week 02 - A+ Core 1: mobile devices, networking basics, wireless, and virtualization</t>
  </si>
  <si>
    <t xml:space="preserve">/weeks/week-02-a-core-1-mobile-devices-networking-basics-wireless-and-virtu/</t>
  </si>
  <si>
    <t xml:space="preserve">Publish your weekly summary, key concepts, and the main artifact: Home-network map + ports and protocols sheet.</t>
  </si>
  <si>
    <t xml:space="preserve">End of Week 02 review day</t>
  </si>
  <si>
    <t xml:space="preserve">Week 03 - A+ Core 2: operating systems, installs, file systems, and admin basics</t>
  </si>
  <si>
    <t xml:space="preserve">/weeks/week-03-a-core-2-operating-systems-installs-file-systems-and-admin-b/</t>
  </si>
  <si>
    <t xml:space="preserve">Publish your weekly summary, key concepts, and the main artifact: OS comparison grid + install / upgrade checklist.</t>
  </si>
  <si>
    <t xml:space="preserve">End of Week 03 review day</t>
  </si>
  <si>
    <t xml:space="preserve">Week 04 - A+ Core 2: security, support professionalism, and troubleshooting method</t>
  </si>
  <si>
    <t xml:space="preserve">/weeks/week-04-a-core-2-security-support-professionalism-and-troubleshootin/</t>
  </si>
  <si>
    <t xml:space="preserve">Publish your weekly summary, key concepts, and the main artifact: Three troubleshooting playbooks.</t>
  </si>
  <si>
    <t xml:space="preserve">End of Week 04 review day</t>
  </si>
  <si>
    <t xml:space="preserve">Week 05 - Linux ramp-up and first VM build</t>
  </si>
  <si>
    <t xml:space="preserve">/weeks/week-05-linux-ramp-up-and-first-vm-build/</t>
  </si>
  <si>
    <t xml:space="preserve">Publish your weekly summary, key concepts, and the main artifact: Ubuntu VM + Linux command cheat sheet.</t>
  </si>
  <si>
    <t xml:space="preserve">Exported artifact image or PDF; Screenshots or code snippet; Reflection paragraph</t>
  </si>
  <si>
    <t xml:space="preserve">End of Week 05 review day</t>
  </si>
  <si>
    <t xml:space="preserve">Weeks / Networking</t>
  </si>
  <si>
    <t xml:space="preserve">Week 06 - Networking foundations: models, media, devices, and topologies</t>
  </si>
  <si>
    <t xml:space="preserve">/weeks/week-06-networking-foundations-models-media-devices-and-topologies/</t>
  </si>
  <si>
    <t xml:space="preserve">Publish your weekly summary, key concepts, and the main artifact: Packet-journey diagram.</t>
  </si>
  <si>
    <t xml:space="preserve">End of Week 06 review day</t>
  </si>
  <si>
    <t xml:space="preserve">Week 07 - Ethernet, switching, routing, and gateways</t>
  </si>
  <si>
    <t xml:space="preserve">/weeks/week-07-ethernet-switching-routing-and-gateways/</t>
  </si>
  <si>
    <t xml:space="preserve">Publish your weekly summary, key concepts, and the main artifact: Layer 2 vs Layer 3 comparison sheet.</t>
  </si>
  <si>
    <t xml:space="preserve">End of Week 07 review day</t>
  </si>
  <si>
    <t xml:space="preserve">Week 08 - IPv4 addressing, subnetting, and address planning</t>
  </si>
  <si>
    <t xml:space="preserve">/weeks/week-08-ipv4-addressing-subnetting-and-address-planning/</t>
  </si>
  <si>
    <t xml:space="preserve">Publish your weekly summary, key concepts, and the main artifact: Subnet worksheet + address plan.</t>
  </si>
  <si>
    <t xml:space="preserve">End of Week 08 review day</t>
  </si>
  <si>
    <t xml:space="preserve">Week 09 - TCP, UDP, ports, DNS, DHCP, NAT, and service flow</t>
  </si>
  <si>
    <t xml:space="preserve">/weeks/week-09-tcp-udp-ports-dns-dhcp-nat-and-service-flow/</t>
  </si>
  <si>
    <t xml:space="preserve">Publish your weekly summary, key concepts, and the main artifact: Ports / protocols sheet v2 + trace-route notes.</t>
  </si>
  <si>
    <t xml:space="preserve">End of Week 09 review day</t>
  </si>
  <si>
    <t xml:space="preserve">Week 10 - Wireless, SOHO design, cloud, and network security basics</t>
  </si>
  <si>
    <t xml:space="preserve">/weeks/week-10-wireless-soho-design-cloud-and-network-security-basics/</t>
  </si>
  <si>
    <t xml:space="preserve">Publish your weekly summary, key concepts, and the main artifact: SOHO hardening checklist.</t>
  </si>
  <si>
    <t xml:space="preserve">End of Week 10 review day</t>
  </si>
  <si>
    <t xml:space="preserve">Week 11 - Wireshark and troubleshooting with packet evidence</t>
  </si>
  <si>
    <t xml:space="preserve">/weeks/week-11-wireshark-and-troubleshooting-with-packet-evidence/</t>
  </si>
  <si>
    <t xml:space="preserve">Publish your weekly summary, key concepts, and the main artifact: Three annotated packet captures.</t>
  </si>
  <si>
    <t xml:space="preserve">Screenshots or code snippet; Reflection paragraph</t>
  </si>
  <si>
    <t xml:space="preserve">End of Week 11 review day</t>
  </si>
  <si>
    <t xml:space="preserve">Week 12 - TryHackMe Pre Security and end-to-end web request capstone</t>
  </si>
  <si>
    <t xml:space="preserve">/weeks/week-12-tryhackme-pre-security-and-end-to-end-web-request-capstone/</t>
  </si>
  <si>
    <t xml:space="preserve">Publish your weekly summary, key concepts, and the main artifact: End-to-end web request explainer.</t>
  </si>
  <si>
    <t xml:space="preserve">End of Week 12 review day</t>
  </si>
  <si>
    <t xml:space="preserve">Weeks / Security</t>
  </si>
  <si>
    <t xml:space="preserve">Week 13 - Google Course 1: Foundations of Cybersecurity</t>
  </si>
  <si>
    <t xml:space="preserve">/weeks/week-13-google-course-1-foundations-of-cybersecurity/</t>
  </si>
  <si>
    <t xml:space="preserve">Publish your weekly summary, key concepts, and the main artifact: Professional statement + CIA / framework notes.</t>
  </si>
  <si>
    <t xml:space="preserve">Reflection paragraph</t>
  </si>
  <si>
    <t xml:space="preserve">End of Week 13 review day</t>
  </si>
  <si>
    <t xml:space="preserve">Week 14 - Google Course 2: Play It Safe - Manage Security Risks</t>
  </si>
  <si>
    <t xml:space="preserve">/weeks/week-14-google-course-2-play-it-safe-manage-security-risks/</t>
  </si>
  <si>
    <t xml:space="preserve">Publish your weekly summary, key concepts, and the main artifact: Starter risk register.</t>
  </si>
  <si>
    <t xml:space="preserve">End of Week 14 review day</t>
  </si>
  <si>
    <t xml:space="preserve">Week 15 - Google Course 3: Networks and Network Security</t>
  </si>
  <si>
    <t xml:space="preserve">/weeks/week-15-google-course-3-networks-and-network-security/</t>
  </si>
  <si>
    <t xml:space="preserve">Publish your weekly summary, key concepts, and the main artifact: Hardened network checklist.</t>
  </si>
  <si>
    <t xml:space="preserve">End of Week 15 review day</t>
  </si>
  <si>
    <t xml:space="preserve">Week 16 - Google Course 4: Linux and SQL (part 1 - Linux)</t>
  </si>
  <si>
    <t xml:space="preserve">/weeks/week-16-google-course-4-linux-and-sql-part-1-linux/</t>
  </si>
  <si>
    <t xml:space="preserve">Publish your weekly summary, key concepts, and the main artifact: Linux command notebook.</t>
  </si>
  <si>
    <t xml:space="preserve">End of Week 16 review day</t>
  </si>
  <si>
    <t xml:space="preserve">Week 17 - Google Course 4: Linux and SQL (part 2 - SQL)</t>
  </si>
  <si>
    <t xml:space="preserve">/weeks/week-17-google-course-4-linux-and-sql-part-2-sql/</t>
  </si>
  <si>
    <t xml:space="preserve">Publish your weekly summary, key concepts, and the main artifact: SQL query notebook.</t>
  </si>
  <si>
    <t xml:space="preserve">End of Week 17 review day</t>
  </si>
  <si>
    <t xml:space="preserve">Week 18 - Google Course 5: Assets, threats, and vulnerabilities (part 1)</t>
  </si>
  <si>
    <t xml:space="preserve">/weeks/week-18-google-course-5-assets-threats-and-vulnerabilities-part-1/</t>
  </si>
  <si>
    <t xml:space="preserve">Publish your weekly summary, key concepts, and the main artifact: Asset inventory + data handling guide.</t>
  </si>
  <si>
    <t xml:space="preserve">End of Week 18 review day</t>
  </si>
  <si>
    <t xml:space="preserve">Week 19 - Google Course 5: Assets, threats, and vulnerabilities (part 2)</t>
  </si>
  <si>
    <t xml:space="preserve">/weeks/week-19-google-course-5-assets-threats-and-vulnerabilities-part-2/</t>
  </si>
  <si>
    <t xml:space="preserve">Publish your weekly summary, key concepts, and the main artifact: Threat model + vulnerability notes.</t>
  </si>
  <si>
    <t xml:space="preserve">End of Week 19 review day</t>
  </si>
  <si>
    <t xml:space="preserve">Week 20 - Google Course 6: Detection and response (part 1)</t>
  </si>
  <si>
    <t xml:space="preserve">/weeks/week-20-google-course-6-detection-and-response-part-1/</t>
  </si>
  <si>
    <t xml:space="preserve">Publish your weekly summary, key concepts, and the main artifact: One-page IR playbook.</t>
  </si>
  <si>
    <t xml:space="preserve">End of Week 20 review day</t>
  </si>
  <si>
    <t xml:space="preserve">Week 21 - Google Course 6: Detection and response (part 2)</t>
  </si>
  <si>
    <t xml:space="preserve">/weeks/week-21-google-course-6-detection-and-response-part-2/</t>
  </si>
  <si>
    <t xml:space="preserve">Publish your weekly summary, key concepts, and the main artifact: Escalation matrix + incident summary.</t>
  </si>
  <si>
    <t xml:space="preserve">End of Week 21 review day</t>
  </si>
  <si>
    <t xml:space="preserve">Week 22 - Google Course 7: Python automation (part 1)</t>
  </si>
  <si>
    <t xml:space="preserve">/weeks/week-22-google-course-7-python-automation-part-1/</t>
  </si>
  <si>
    <t xml:space="preserve">Publish your weekly summary, key concepts, and the main artifact: Python basics notebook.</t>
  </si>
  <si>
    <t xml:space="preserve">End of Week 22 review day</t>
  </si>
  <si>
    <t xml:space="preserve">Week 23 - Google Course 7: Python automation (part 2)</t>
  </si>
  <si>
    <t xml:space="preserve">/weeks/week-23-google-course-7-python-automation-part-2/</t>
  </si>
  <si>
    <t xml:space="preserve">Publish your weekly summary, key concepts, and the main artifact: Automation script portfolio item.</t>
  </si>
  <si>
    <t xml:space="preserve">End of Week 23 review day</t>
  </si>
  <si>
    <t xml:space="preserve">Week 24 - Google Course 8: Prepare for cybersecurity jobs</t>
  </si>
  <si>
    <t xml:space="preserve">/weeks/week-24-google-course-8-prepare-for-cybersecurity-jobs/</t>
  </si>
  <si>
    <t xml:space="preserve">Publish your weekly summary, key concepts, and the main artifact: Resume bullets + five mock interview answers.</t>
  </si>
  <si>
    <t xml:space="preserve">End of Week 24 review day</t>
  </si>
  <si>
    <t xml:space="preserve">Week 25 - Google Course 9: Job search systems, AI support, and profile polish</t>
  </si>
  <si>
    <t xml:space="preserve">/weeks/week-25-google-course-9-job-search-systems-ai-support-and-profile-po/</t>
  </si>
  <si>
    <t xml:space="preserve">Publish your weekly summary, key concepts, and the main artifact: LinkedIn update + application tracker.</t>
  </si>
  <si>
    <t xml:space="preserve">End of Week 25 review day</t>
  </si>
  <si>
    <t xml:space="preserve">Week 26 - Security+ reinforcement: IAM, crypto, and social engineering</t>
  </si>
  <si>
    <t xml:space="preserve">/weeks/week-26-security-reinforcement-iam-crypto-and-social-engineering/</t>
  </si>
  <si>
    <t xml:space="preserve">Publish your weekly summary, key concepts, and the main artifact: IAM / crypto / social-engineering brief.</t>
  </si>
  <si>
    <t xml:space="preserve">End of Week 26 review day</t>
  </si>
  <si>
    <t xml:space="preserve">Week 27 - TryHackMe Cyber Security 101 + breach journal capstone</t>
  </si>
  <si>
    <t xml:space="preserve">/weeks/week-27-tryhackme-cyber-security-101-breach-journal-capstone/</t>
  </si>
  <si>
    <t xml:space="preserve">Publish your weekly summary, key concepts, and the main artifact: Three breach summaries + management brief.</t>
  </si>
  <si>
    <t xml:space="preserve">End of Week 27 review day</t>
  </si>
  <si>
    <t xml:space="preserve">Weeks / GRC and Application</t>
  </si>
  <si>
    <t xml:space="preserve">Week 28 - CISA incident response materials and playbook thinking</t>
  </si>
  <si>
    <t xml:space="preserve">/weeks/week-28-cisa-incident-response-materials-and-playbook-thinking/</t>
  </si>
  <si>
    <t xml:space="preserve">Publish your weekly summary, key concepts, and the main artifact: IR checklist + roles matrix.</t>
  </si>
  <si>
    <t xml:space="preserve">End of Week 28 review day</t>
  </si>
  <si>
    <t xml:space="preserve">Week 29 - Critical infrastructure, governance, risk, and assessment mindset</t>
  </si>
  <si>
    <t xml:space="preserve">/weeks/week-29-critical-infrastructure-governance-risk-and-assessment-minds/</t>
  </si>
  <si>
    <t xml:space="preserve">Publish your weekly summary, key concepts, and the main artifact: Risk register + control map.</t>
  </si>
  <si>
    <t xml:space="preserve">End of Week 29 review day</t>
  </si>
  <si>
    <t xml:space="preserve">Week 30 - TryHackMe Defensive Security: SOC, forensics, IR, and logs</t>
  </si>
  <si>
    <t xml:space="preserve">/weeks/week-30-tryhackme-defensive-security-soc-forensics-ir-and-logs/</t>
  </si>
  <si>
    <t xml:space="preserve">Publish your weekly summary, key concepts, and the main artifact: SOC workflow + lab notes.</t>
  </si>
  <si>
    <t xml:space="preserve">End of Week 30 review day</t>
  </si>
  <si>
    <t xml:space="preserve">Week 31 - Portfolio packaging, mock briefing, and next-step planning</t>
  </si>
  <si>
    <t xml:space="preserve">/weeks/week-31-portfolio-packaging-mock-briefing-and-next-step-planning/</t>
  </si>
  <si>
    <t xml:space="preserve">Publish your weekly summary, key concepts, and the main artifact: Final portfolio pack + next-step plan.</t>
  </si>
  <si>
    <t xml:space="preserve">End of Week 31 review day</t>
  </si>
  <si>
    <t xml:space="preserve">Weeks / Final Review</t>
  </si>
  <si>
    <t xml:space="preserve">Week 32 - Catch-up, comprehensive review, and study-system reset</t>
  </si>
  <si>
    <t xml:space="preserve">/weeks/week-32-catch-up-comprehensive-review-and-study-system-reset/</t>
  </si>
  <si>
    <t xml:space="preserve">Publish your weekly summary, key concepts, and the main artifact: Completion checklist + retrospective.</t>
  </si>
  <si>
    <t xml:space="preserve">End of Week 32 review day</t>
  </si>
  <si>
    <t xml:space="preserve">Workload Model and Completion Math</t>
  </si>
  <si>
    <t xml:space="preserve">Resource / activity</t>
  </si>
  <si>
    <t xml:space="preserve">Published hours</t>
  </si>
  <si>
    <t xml:space="preserve">Added practice / output hours</t>
  </si>
  <si>
    <t xml:space="preserve">Source URL</t>
  </si>
  <si>
    <t xml:space="preserve">Notes</t>
  </si>
  <si>
    <t xml:space="preserve">Professor Messer A+ Core 1</t>
  </si>
  <si>
    <t xml:space="preserve">Official runtime plus note-taking and deliverables</t>
  </si>
  <si>
    <t xml:space="preserve">Professor Messer A+ Core 2</t>
  </si>
  <si>
    <t xml:space="preserve">Official runtime plus playbooks and recap work</t>
  </si>
  <si>
    <t xml:space="preserve">Official course plus command notes</t>
  </si>
  <si>
    <t xml:space="preserve">Ubuntu VM build and local terminal drills</t>
  </si>
  <si>
    <t xml:space="preserve">Planner estimate tied to Week 5 deliverables</t>
  </si>
  <si>
    <t xml:space="preserve">Cisco networking block (CCST / Network Technician equivalent)</t>
  </si>
  <si>
    <t xml:space="preserve">Cisco networking workload anchor</t>
  </si>
  <si>
    <t xml:space="preserve">Wireshark install and packet-capture practice</t>
  </si>
  <si>
    <t xml:space="preserve">Planner estimate for packet analysis practice</t>
  </si>
  <si>
    <t xml:space="preserve">TryHackMe Pre Security reinforcement</t>
  </si>
  <si>
    <t xml:space="preserve">Planner estimate for path work</t>
  </si>
  <si>
    <t xml:space="preserve">Google Cybersecurity Professional Certificate</t>
  </si>
  <si>
    <t xml:space="preserve">Published program hours</t>
  </si>
  <si>
    <t xml:space="preserve">Professor Messer Security+ reinforcement</t>
  </si>
  <si>
    <t xml:space="preserve">Full runtime used as reinforcement across the security block</t>
  </si>
  <si>
    <t xml:space="preserve">TryHackMe Cyber Security 101 (selected modules)</t>
  </si>
  <si>
    <t xml:space="preserve">Planner estimate for overlap-friendly modules</t>
  </si>
  <si>
    <t xml:space="preserve">Security Journal and management summaries</t>
  </si>
  <si>
    <t xml:space="preserve">Planner estimate spread across news-story summaries</t>
  </si>
  <si>
    <t xml:space="preserve">CISA selected training and reading</t>
  </si>
  <si>
    <t xml:space="preserve">Planner estimate for selected CISA modules and guidance</t>
  </si>
  <si>
    <t xml:space="preserve">Planner estimate for room completion and notes</t>
  </si>
  <si>
    <t xml:space="preserve">Resume, LinkedIn, capstone packaging</t>
  </si>
  <si>
    <t xml:space="preserve">Planner estimate for final application work</t>
  </si>
  <si>
    <t xml:space="preserve">Completion math</t>
  </si>
  <si>
    <t xml:space="preserve">Published hours subtotal</t>
  </si>
  <si>
    <t xml:space="preserve">Why the schedule is longer than a simple 15h/week divide</t>
  </si>
  <si>
    <t xml:space="preserve">Planned content hours subtotal</t>
  </si>
  <si>
    <t xml:space="preserve">Core study timeline stays at 32 weeks if you use the review day for light website upkeep. If you treat the website as a separate project, budget about 1-2 extra weeks.</t>
  </si>
  <si>
    <t xml:space="preserve">Review hours per week</t>
  </si>
  <si>
    <t xml:space="preserve">Total scheduled hours per week</t>
  </si>
  <si>
    <t xml:space="preserve">Recommended calendar weeks</t>
  </si>
  <si>
    <t xml:space="preserve">Approximate months</t>
  </si>
  <si>
    <t xml:space="preserve">Category</t>
  </si>
  <si>
    <t xml:space="preserve">Resource</t>
  </si>
  <si>
    <t xml:space="preserve">Use it for</t>
  </si>
  <si>
    <t xml:space="preserve">Best weeks</t>
  </si>
  <si>
    <t xml:space="preserve">URL</t>
  </si>
  <si>
    <t xml:space="preserve">Hardware, internals, ports, networking basics</t>
  </si>
  <si>
    <t xml:space="preserve">1-2</t>
  </si>
  <si>
    <t xml:space="preserve">Current 220-1201 series</t>
  </si>
  <si>
    <t xml:space="preserve">Operating systems, security basics, troubleshooting</t>
  </si>
  <si>
    <t xml:space="preserve">3-4</t>
  </si>
  <si>
    <t xml:space="preserve">Current 220-1202 series</t>
  </si>
  <si>
    <t xml:space="preserve">Gentle Linux command-line ramp-up</t>
  </si>
  <si>
    <t xml:space="preserve">3-5</t>
  </si>
  <si>
    <t xml:space="preserve">Free NDG course delivered through Cisco ecosystem</t>
  </si>
  <si>
    <t xml:space="preserve">Build your first VM</t>
  </si>
  <si>
    <t xml:space="preserve">2, 5</t>
  </si>
  <si>
    <t xml:space="preserve">Use with Ubuntu Desktop</t>
  </si>
  <si>
    <t xml:space="preserve">Ubuntu Desktop</t>
  </si>
  <si>
    <t xml:space="preserve">Linux VM install media</t>
  </si>
  <si>
    <t xml:space="preserve">5</t>
  </si>
  <si>
    <t xml:space="preserve">Any stable Ubuntu Desktop image is fine</t>
  </si>
  <si>
    <t xml:space="preserve">Primary networking theory and structured progression</t>
  </si>
  <si>
    <t xml:space="preserve">6-10</t>
  </si>
  <si>
    <t xml:space="preserve">Use as the main networking anchor</t>
  </si>
  <si>
    <t xml:space="preserve">Professor Messer Network+</t>
  </si>
  <si>
    <t xml:space="preserve">Fast conceptual refreshers and alternate explanations</t>
  </si>
  <si>
    <t xml:space="preserve">6-12</t>
  </si>
  <si>
    <t xml:space="preserve">Good when Cisco lessons feel dense</t>
  </si>
  <si>
    <t xml:space="preserve">Packet capture and protocol observation</t>
  </si>
  <si>
    <t xml:space="preserve">10-15</t>
  </si>
  <si>
    <t xml:space="preserve">Install once and reuse later</t>
  </si>
  <si>
    <t xml:space="preserve">Cisco Wireshark lab</t>
  </si>
  <si>
    <t xml:space="preserve">Guided first packet-analysis lab</t>
  </si>
  <si>
    <t xml:space="preserve">11</t>
  </si>
  <si>
    <t xml:space="preserve">Good starter lab</t>
  </si>
  <si>
    <t xml:space="preserve">How the web, systems, and basic security fit together</t>
  </si>
  <si>
    <t xml:space="preserve">12</t>
  </si>
  <si>
    <t xml:space="preserve">Great bridge from networking into security</t>
  </si>
  <si>
    <t xml:space="preserve">Main theory + practice block</t>
  </si>
  <si>
    <t xml:space="preserve">13-25</t>
  </si>
  <si>
    <t xml:space="preserve">170-hour anchor of the plan</t>
  </si>
  <si>
    <t xml:space="preserve">Google Course 1</t>
  </si>
  <si>
    <t xml:space="preserve">Cybersecurity foundations</t>
  </si>
  <si>
    <t xml:space="preserve">13</t>
  </si>
  <si>
    <t xml:space="preserve">Career framing, CIA, frameworks</t>
  </si>
  <si>
    <t xml:space="preserve">Google Course 2</t>
  </si>
  <si>
    <t xml:space="preserve">Risk and control basics</t>
  </si>
  <si>
    <t xml:space="preserve">14</t>
  </si>
  <si>
    <t xml:space="preserve">Risk, controls, SIEM, playbooks</t>
  </si>
  <si>
    <t xml:space="preserve">Google Course 3</t>
  </si>
  <si>
    <t xml:space="preserve">Network security</t>
  </si>
  <si>
    <t xml:space="preserve">15</t>
  </si>
  <si>
    <t xml:space="preserve">Hardening and network security controls</t>
  </si>
  <si>
    <t xml:space="preserve">Google Course 4</t>
  </si>
  <si>
    <t xml:space="preserve">Linux and SQL</t>
  </si>
  <si>
    <t xml:space="preserve">16-17</t>
  </si>
  <si>
    <t xml:space="preserve">Core analyst tooling</t>
  </si>
  <si>
    <t xml:space="preserve">Google Course 5</t>
  </si>
  <si>
    <t xml:space="preserve">Assets, threats, vulnerabilities</t>
  </si>
  <si>
    <t xml:space="preserve">18-19</t>
  </si>
  <si>
    <t xml:space="preserve">Threat modeling and attack surfaces</t>
  </si>
  <si>
    <t xml:space="preserve">Google Course 6</t>
  </si>
  <si>
    <t xml:space="preserve">Detection and response</t>
  </si>
  <si>
    <t xml:space="preserve">20-21</t>
  </si>
  <si>
    <t xml:space="preserve">IR lifecycle, alerts, logs, SIEM</t>
  </si>
  <si>
    <t xml:space="preserve">Google Course 7</t>
  </si>
  <si>
    <t xml:space="preserve">Python automation</t>
  </si>
  <si>
    <t xml:space="preserve">22-23</t>
  </si>
  <si>
    <t xml:space="preserve">Basic scripting for security tasks</t>
  </si>
  <si>
    <t xml:space="preserve">Google Course 8</t>
  </si>
  <si>
    <t xml:space="preserve">Prepare for cybersecurity jobs</t>
  </si>
  <si>
    <t xml:space="preserve">24, 31</t>
  </si>
  <si>
    <t xml:space="preserve">Portfolio and interview work</t>
  </si>
  <si>
    <t xml:space="preserve">Google Course 9</t>
  </si>
  <si>
    <t xml:space="preserve">Accelerate your job search with AI</t>
  </si>
  <si>
    <t xml:space="preserve">25</t>
  </si>
  <si>
    <t xml:space="preserve">Profile polish and job search system</t>
  </si>
  <si>
    <t xml:space="preserve">Entry-level security reinforcement</t>
  </si>
  <si>
    <t xml:space="preserve">13-27</t>
  </si>
  <si>
    <t xml:space="preserve">Use for alternate explanations and review</t>
  </si>
  <si>
    <t xml:space="preserve">Selected overlap-friendly modules for reinforcement</t>
  </si>
  <si>
    <t xml:space="preserve">17, 19, 23, 27</t>
  </si>
  <si>
    <t xml:space="preserve">Do not try to force every room if overlap is high</t>
  </si>
  <si>
    <t xml:space="preserve">Manager-oriented IR thinking and structure</t>
  </si>
  <si>
    <t xml:space="preserve">28, 30</t>
  </si>
  <si>
    <t xml:space="preserve">Free U.S. government material</t>
  </si>
  <si>
    <t xml:space="preserve">Resilience and governance context</t>
  </si>
  <si>
    <t xml:space="preserve">29</t>
  </si>
  <si>
    <t xml:space="preserve">Use for GRC framing</t>
  </si>
  <si>
    <t xml:space="preserve">Hub for CISA no-cost training</t>
  </si>
  <si>
    <t xml:space="preserve">28-29</t>
  </si>
  <si>
    <t xml:space="preserve">Good starting point for selected modules</t>
  </si>
  <si>
    <t xml:space="preserve">Assessment mindset and maturity questions</t>
  </si>
  <si>
    <t xml:space="preserve">Helpful for risk and control mapping</t>
  </si>
  <si>
    <t xml:space="preserve">SOC, forensics, incident response, logs</t>
  </si>
  <si>
    <t xml:space="preserve">21, 30</t>
  </si>
  <si>
    <t xml:space="preserve">Best late in the plan</t>
  </si>
  <si>
    <t xml:space="preserve">Date</t>
  </si>
  <si>
    <t xml:space="preserve">Source / breach name</t>
  </si>
  <si>
    <t xml:space="preserve">What happened</t>
  </si>
  <si>
    <t xml:space="preserve">Root cause</t>
  </si>
  <si>
    <t xml:space="preserve">Management summary</t>
  </si>
  <si>
    <t xml:space="preserve">What control would I change?</t>
  </si>
  <si>
    <t xml:space="preserve">Likelihood</t>
  </si>
  <si>
    <t xml:space="preserve">Impact</t>
  </si>
  <si>
    <t xml:space="preserve">Owner / stakeholder</t>
  </si>
  <si>
    <t xml:space="preserve">Sample</t>
  </si>
  <si>
    <t xml:space="preserve">Example breach story</t>
  </si>
  <si>
    <t xml:space="preserve">https://example.com</t>
  </si>
  <si>
    <t xml:space="preserve">Summarize the incident in 2-3 sentences.</t>
  </si>
  <si>
    <t xml:space="preserve">Weak MFA, exposed service, poor patching, bad monitoring, etc.</t>
  </si>
  <si>
    <t xml:space="preserve">Write a manager-ready summary of business impact and response.</t>
  </si>
  <si>
    <t xml:space="preserve">Name the preventive or detective control you would strengthen.</t>
  </si>
  <si>
    <t xml:space="preserve">Low / Med / High</t>
  </si>
  <si>
    <t xml:space="preserve">CISO, IT Ops, Vendor, HR, Legal...</t>
  </si>
  <si>
    <t xml:space="preserve">Draft</t>
  </si>
  <si>
    <t xml:space="preserve">Weekly reflection log</t>
  </si>
  <si>
    <t xml:space="preserve">Biggest win</t>
  </si>
  <si>
    <t xml:space="preserve">Weakest concept</t>
  </si>
  <si>
    <t xml:space="preserve">Evidence I created</t>
  </si>
  <si>
    <t xml:space="preserve">What I will fix next week</t>
  </si>
</sst>
</file>

<file path=xl/styles.xml><?xml version="1.0" encoding="utf-8"?>
<styleSheet xmlns="http://schemas.openxmlformats.org/spreadsheetml/2006/main">
  <numFmts count="3">
    <numFmt numFmtId="164" formatCode="General"/>
    <numFmt numFmtId="165" formatCode="0.0"/>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sz val="10"/>
      <name val="Cambria"/>
      <family val="0"/>
      <charset val="1"/>
    </font>
    <font>
      <b val="true"/>
      <sz val="11"/>
      <color rgb="FFFFFFFF"/>
      <name val="Cambria"/>
      <family val="0"/>
      <charset val="1"/>
    </font>
    <font>
      <b val="true"/>
      <sz val="10"/>
      <name val="Cambria"/>
      <family val="0"/>
      <charset val="1"/>
    </font>
    <font>
      <b val="true"/>
      <sz val="11"/>
      <name val="Cambria"/>
      <family val="0"/>
      <charset val="1"/>
    </font>
    <font>
      <b val="true"/>
      <sz val="11"/>
      <color rgb="FF000000"/>
      <name val="Cambria"/>
      <family val="0"/>
      <charset val="1"/>
    </font>
    <font>
      <sz val="10"/>
      <color rgb="FF0000FF"/>
      <name val="Cambria"/>
      <family val="0"/>
      <charset val="1"/>
    </font>
    <font>
      <sz val="12"/>
      <color theme="10"/>
      <name val="Calibri"/>
      <family val="2"/>
      <charset val="1"/>
    </font>
    <font>
      <b val="true"/>
      <sz val="14"/>
      <color rgb="FFFFFFFF"/>
      <name val="Calibri"/>
      <family val="0"/>
      <charset val="1"/>
    </font>
    <font>
      <u val="single"/>
      <sz val="10"/>
      <color rgb="FF0563C1"/>
      <name val="Cambria"/>
      <family val="0"/>
      <charset val="1"/>
    </font>
  </fonts>
  <fills count="14">
    <fill>
      <patternFill patternType="none"/>
    </fill>
    <fill>
      <patternFill patternType="gray125"/>
    </fill>
    <fill>
      <patternFill patternType="solid">
        <fgColor rgb="FF1F3A5F"/>
        <bgColor rgb="FF333333"/>
      </patternFill>
    </fill>
    <fill>
      <patternFill patternType="solid">
        <fgColor rgb="FFEEF5FB"/>
        <bgColor rgb="FFEAF2F8"/>
      </patternFill>
    </fill>
    <fill>
      <patternFill patternType="solid">
        <fgColor rgb="FFFFFFFF"/>
        <bgColor rgb="FFEEF5FB"/>
      </patternFill>
    </fill>
    <fill>
      <patternFill patternType="solid">
        <fgColor rgb="FFDCE6F1"/>
        <bgColor rgb="FFD9EAF7"/>
      </patternFill>
    </fill>
    <fill>
      <patternFill patternType="solid">
        <fgColor rgb="FFE2F0D9"/>
        <bgColor rgb="FFEDEDED"/>
      </patternFill>
    </fill>
    <fill>
      <patternFill patternType="solid">
        <fgColor rgb="FFFCE4D6"/>
        <bgColor rgb="FFFFF2CC"/>
      </patternFill>
    </fill>
    <fill>
      <patternFill patternType="solid">
        <fgColor rgb="FFEDE7F6"/>
        <bgColor rgb="FFEDEDED"/>
      </patternFill>
    </fill>
    <fill>
      <patternFill patternType="solid">
        <fgColor rgb="FFF2F2F2"/>
        <bgColor rgb="FFEEF5FB"/>
      </patternFill>
    </fill>
    <fill>
      <patternFill patternType="solid">
        <fgColor rgb="FFD9EAF7"/>
        <bgColor rgb="FFDCE6F1"/>
      </patternFill>
    </fill>
    <fill>
      <patternFill patternType="solid">
        <fgColor rgb="FFFFF2CC"/>
        <bgColor rgb="FFFCE4D6"/>
      </patternFill>
    </fill>
    <fill>
      <patternFill patternType="solid">
        <fgColor rgb="FFEDEDED"/>
        <bgColor rgb="FFF2F2F2"/>
      </patternFill>
    </fill>
    <fill>
      <patternFill patternType="solid">
        <fgColor rgb="FFEAF2F8"/>
        <bgColor rgb="FFEEF5FB"/>
      </patternFill>
    </fill>
  </fills>
  <borders count="3">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 diagonalUp="false" diagonalDown="false">
      <left style="thin">
        <color rgb="FFC9D3E0"/>
      </left>
      <right/>
      <top style="thin">
        <color rgb="FFC9D3E0"/>
      </top>
      <bottom style="thin">
        <color rgb="FFC9D3E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true" applyAlignment="true" applyProtection="true">
      <alignment horizontal="general" vertical="bottom" textRotation="0" wrapText="false" indent="0" shrinkToFit="false"/>
      <protection locked="true" hidden="false"/>
    </xf>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2" borderId="0"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10" fillId="0" borderId="1" xfId="2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5" fillId="7" borderId="1" xfId="0" applyFont="true" applyBorder="true" applyAlignment="true" applyProtection="false">
      <alignment horizontal="left" vertical="top" textRotation="0" wrapText="true" indent="0" shrinkToFit="false"/>
      <protection locked="true" hidden="false"/>
    </xf>
    <xf numFmtId="164" fontId="5" fillId="8" borderId="1" xfId="0" applyFont="true" applyBorder="true" applyAlignment="true" applyProtection="false">
      <alignment horizontal="left" vertical="top" textRotation="0" wrapText="true" indent="0" shrinkToFit="false"/>
      <protection locked="true" hidden="false"/>
    </xf>
    <xf numFmtId="164" fontId="5" fillId="9" borderId="1" xfId="0" applyFont="true" applyBorder="true" applyAlignment="true" applyProtection="false">
      <alignment horizontal="left" vertical="top" textRotation="0" wrapText="true" indent="0" shrinkToFit="false"/>
      <protection locked="true" hidden="false"/>
    </xf>
    <xf numFmtId="164" fontId="5" fillId="10" borderId="1" xfId="0" applyFont="true" applyBorder="true" applyAlignment="true" applyProtection="false">
      <alignment horizontal="center" vertical="center" textRotation="0" wrapText="true" indent="0" shrinkToFit="false"/>
      <protection locked="true" hidden="false"/>
    </xf>
    <xf numFmtId="164" fontId="5" fillId="11" borderId="1" xfId="0" applyFont="true" applyBorder="true" applyAlignment="true" applyProtection="false">
      <alignment horizontal="left" vertical="top" textRotation="0" wrapText="true" indent="0" shrinkToFit="false"/>
      <protection locked="true" hidden="false"/>
    </xf>
    <xf numFmtId="164" fontId="5" fillId="12" borderId="1" xfId="0" applyFont="true" applyBorder="true" applyAlignment="true" applyProtection="false">
      <alignment horizontal="center" vertical="center" textRotation="0" wrapText="true" indent="0" shrinkToFit="false"/>
      <protection locked="true" hidden="false"/>
    </xf>
    <xf numFmtId="164" fontId="5" fillId="11" borderId="1" xfId="0" applyFont="true" applyBorder="true" applyAlignment="true" applyProtection="false">
      <alignment horizontal="center" vertical="center" textRotation="0" wrapText="true" indent="0" shrinkToFit="false"/>
      <protection locked="true" hidden="false"/>
    </xf>
    <xf numFmtId="164" fontId="12" fillId="2" borderId="2" xfId="0" applyFont="true" applyBorder="true" applyAlignment="true" applyProtection="false">
      <alignment horizontal="left" vertical="center"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3" fillId="0" borderId="0" xfId="2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2">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EDE7F6"/>
          <bgColor rgb="FF000000"/>
        </patternFill>
      </fill>
    </dxf>
    <dxf>
      <fill>
        <patternFill patternType="solid">
          <fgColor rgb="FFEEF5FB"/>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EDEDED"/>
          <bgColor rgb="FF000000"/>
        </patternFill>
      </fill>
    </dxf>
    <dxf>
      <fill>
        <patternFill patternType="solid">
          <fgColor rgb="FFD9EAF7"/>
          <bgColor rgb="FF000000"/>
        </patternFill>
      </fill>
    </dxf>
    <dxf>
      <fill>
        <patternFill patternType="solid">
          <fgColor rgb="FFEAF2F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CE6F1"/>
      <rgbColor rgb="FF808080"/>
      <rgbColor rgb="FF9999FF"/>
      <rgbColor rgb="FF993366"/>
      <rgbColor rgb="FFFFF2CC"/>
      <rgbColor rgb="FFD9EAF7"/>
      <rgbColor rgb="FF660066"/>
      <rgbColor rgb="FFFF8080"/>
      <rgbColor rgb="FF0563C1"/>
      <rgbColor rgb="FFC9D3E0"/>
      <rgbColor rgb="FF000080"/>
      <rgbColor rgb="FFFF00FF"/>
      <rgbColor rgb="FFFFFF00"/>
      <rgbColor rgb="FF00FFFF"/>
      <rgbColor rgb="FF800080"/>
      <rgbColor rgb="FF800000"/>
      <rgbColor rgb="FF008080"/>
      <rgbColor rgb="FF0000FF"/>
      <rgbColor rgb="FF00CCFF"/>
      <rgbColor rgb="FFEAF2F8"/>
      <rgbColor rgb="FFE2F0D9"/>
      <rgbColor rgb="FFF2F2F2"/>
      <rgbColor rgb="FFEDE7F6"/>
      <rgbColor rgb="FFEDEDED"/>
      <rgbColor rgb="FFEEF5FB"/>
      <rgbColor rgb="FFFCE4D6"/>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professormesser.com/free-a-plus-training/220-1201/220-1201-video/220-1201-training-course/" TargetMode="External"/><Relationship Id="rId2" Type="http://schemas.openxmlformats.org/officeDocument/2006/relationships/hyperlink" Target="https://ubuntu.com/download/desktop" TargetMode="External"/><Relationship Id="rId3" Type="http://schemas.openxmlformats.org/officeDocument/2006/relationships/hyperlink" Target="https://www.professormesser.com/free-a-plus-training/220-1201/220-1201-video/220-1201-training-course/" TargetMode="External"/><Relationship Id="rId4" Type="http://schemas.openxmlformats.org/officeDocument/2006/relationships/hyperlink" Target="https://www.virtualbox.org/wiki/Downloads" TargetMode="External"/><Relationship Id="rId5" Type="http://schemas.openxmlformats.org/officeDocument/2006/relationships/hyperlink" Target="https://www.professormesser.com/free-a-plus-training/220-1202/220-1202-video/220-1202-training-course/" TargetMode="External"/><Relationship Id="rId6" Type="http://schemas.openxmlformats.org/officeDocument/2006/relationships/hyperlink" Target="https://www.netdevgroup.com/online/courses/open-source/linux-unhatched" TargetMode="External"/><Relationship Id="rId7" Type="http://schemas.openxmlformats.org/officeDocument/2006/relationships/hyperlink" Target="https://www.professormesser.com/free-a-plus-training/220-1202/220-1202-video/220-1202-training-course/" TargetMode="External"/><Relationship Id="rId8" Type="http://schemas.openxmlformats.org/officeDocument/2006/relationships/hyperlink" Target="https://www.professormesser.com/security-plus/sy0-701/sy0-701-video/sy0-701-comptia-security-plus-course/" TargetMode="External"/><Relationship Id="rId9" Type="http://schemas.openxmlformats.org/officeDocument/2006/relationships/hyperlink" Target="https://www.netdevgroup.com/online/courses/open-source/linux-unhatched" TargetMode="External"/><Relationship Id="rId10" Type="http://schemas.openxmlformats.org/officeDocument/2006/relationships/hyperlink" Target="https://www.virtualbox.org/wiki/Downloads" TargetMode="External"/><Relationship Id="rId11" Type="http://schemas.openxmlformats.org/officeDocument/2006/relationships/hyperlink" Target="https://www.cisco.com/site/us/en/learn/training-certifications/training/courses/ccst-networking.html" TargetMode="External"/><Relationship Id="rId12" Type="http://schemas.openxmlformats.org/officeDocument/2006/relationships/hyperlink" Target="https://www.professormesser.com/network-plus/n10-009/n10-009-video/n10-009-training-course/" TargetMode="External"/><Relationship Id="rId13" Type="http://schemas.openxmlformats.org/officeDocument/2006/relationships/hyperlink" Target="https://www.cisco.com/site/us/en/learn/training-certifications/training/courses/ccst-networking.html" TargetMode="External"/><Relationship Id="rId14" Type="http://schemas.openxmlformats.org/officeDocument/2006/relationships/hyperlink" Target="https://contenthub.netacad.com/courses/srwe/_common/1.1.7-lab---basic-switch-configuration.pdf" TargetMode="External"/><Relationship Id="rId15" Type="http://schemas.openxmlformats.org/officeDocument/2006/relationships/hyperlink" Target="https://www.cisco.com/site/us/en/learn/training-certifications/training/courses/ccst-networking.html" TargetMode="External"/><Relationship Id="rId16" Type="http://schemas.openxmlformats.org/officeDocument/2006/relationships/hyperlink" Target="https://www.professormesser.com/network-plus/n10-009/n10-009-video/n10-009-training-course/" TargetMode="External"/><Relationship Id="rId17" Type="http://schemas.openxmlformats.org/officeDocument/2006/relationships/hyperlink" Target="https://www.cisco.com/site/us/en/learn/training-certifications/training/courses/ccst-networking.html" TargetMode="External"/><Relationship Id="rId18" Type="http://schemas.openxmlformats.org/officeDocument/2006/relationships/hyperlink" Target="https://contenthub.netacad.com/courses/netess/_common/4.5.8-lab---trace-a-route.html" TargetMode="External"/><Relationship Id="rId19" Type="http://schemas.openxmlformats.org/officeDocument/2006/relationships/hyperlink" Target="https://www.cisco.com/site/us/en/learn/training-certifications/training/courses/ccst-networking.html" TargetMode="External"/><Relationship Id="rId20" Type="http://schemas.openxmlformats.org/officeDocument/2006/relationships/hyperlink" Target="https://www.wireshark.org/download.html" TargetMode="External"/><Relationship Id="rId21" Type="http://schemas.openxmlformats.org/officeDocument/2006/relationships/hyperlink" Target="https://www.wireshark.org/download.html" TargetMode="External"/><Relationship Id="rId22" Type="http://schemas.openxmlformats.org/officeDocument/2006/relationships/hyperlink" Target="https://contenthub.netacad.com/courses/cyberops/_common/5.3.7-lab---introduction-to-wireshark.pdf" TargetMode="External"/><Relationship Id="rId23" Type="http://schemas.openxmlformats.org/officeDocument/2006/relationships/hyperlink" Target="https://tryhackme.com/path/outline/presecurity" TargetMode="External"/><Relationship Id="rId24" Type="http://schemas.openxmlformats.org/officeDocument/2006/relationships/hyperlink" Target="https://www.professormesser.com/network-plus/n10-009/n10-009-video/n10-009-training-course/" TargetMode="External"/><Relationship Id="rId25" Type="http://schemas.openxmlformats.org/officeDocument/2006/relationships/hyperlink" Target="https://www.coursera.org/learn/foundations-of-cybersecurity?specialization=google-cybersecurity" TargetMode="External"/><Relationship Id="rId26" Type="http://schemas.openxmlformats.org/officeDocument/2006/relationships/hyperlink" Target="https://www.professormesser.com/security-plus/sy0-701/sy0-701-video/sy0-701-comptia-security-plus-course/" TargetMode="External"/><Relationship Id="rId27" Type="http://schemas.openxmlformats.org/officeDocument/2006/relationships/hyperlink" Target="https://www.coursera.org/learn/manage-security-risks?specialization=google-cybersecurity" TargetMode="External"/><Relationship Id="rId28" Type="http://schemas.openxmlformats.org/officeDocument/2006/relationships/hyperlink" Target="https://www.coursera.org/learn/networks-and-network-security?specialization=google-cybersecurity" TargetMode="External"/><Relationship Id="rId29" Type="http://schemas.openxmlformats.org/officeDocument/2006/relationships/hyperlink" Target="https://www.wireshark.org/download.html" TargetMode="External"/><Relationship Id="rId30" Type="http://schemas.openxmlformats.org/officeDocument/2006/relationships/hyperlink" Target="https://www.coursera.org/learn/linux-and-sql?specialization=google-cybersecurity" TargetMode="External"/><Relationship Id="rId31" Type="http://schemas.openxmlformats.org/officeDocument/2006/relationships/hyperlink" Target="https://www.netdevgroup.com/online/courses/open-source/linux-unhatched" TargetMode="External"/><Relationship Id="rId32" Type="http://schemas.openxmlformats.org/officeDocument/2006/relationships/hyperlink" Target="https://www.coursera.org/learn/linux-and-sql?specialization=google-cybersecurity" TargetMode="External"/><Relationship Id="rId33" Type="http://schemas.openxmlformats.org/officeDocument/2006/relationships/hyperlink" Target="https://tryhackme.com/path/outline/cybersecurity101" TargetMode="External"/><Relationship Id="rId34" Type="http://schemas.openxmlformats.org/officeDocument/2006/relationships/hyperlink" Target="https://www.coursera.org/learn/assets-threats-and-vulnerabilities?specialization=google-cybersecurity" TargetMode="External"/><Relationship Id="rId35" Type="http://schemas.openxmlformats.org/officeDocument/2006/relationships/hyperlink" Target="https://www.professormesser.com/security-plus/sy0-701/sy0-701-video/sy0-701-comptia-security-plus-course/" TargetMode="External"/><Relationship Id="rId36" Type="http://schemas.openxmlformats.org/officeDocument/2006/relationships/hyperlink" Target="https://www.coursera.org/learn/assets-threats-and-vulnerabilities?specialization=google-cybersecurity" TargetMode="External"/><Relationship Id="rId37" Type="http://schemas.openxmlformats.org/officeDocument/2006/relationships/hyperlink" Target="https://tryhackme.com/path/outline/cybersecurity101" TargetMode="External"/><Relationship Id="rId38" Type="http://schemas.openxmlformats.org/officeDocument/2006/relationships/hyperlink" Target="https://www.coursera.org/learn/detection-and-response?specialization=google-cybersecurity" TargetMode="External"/><Relationship Id="rId39" Type="http://schemas.openxmlformats.org/officeDocument/2006/relationships/hyperlink" Target="https://www.cisa.gov/resources-tools/programs/Incident-Response-Training" TargetMode="External"/><Relationship Id="rId40" Type="http://schemas.openxmlformats.org/officeDocument/2006/relationships/hyperlink" Target="https://www.coursera.org/learn/detection-and-response?specialization=google-cybersecurity" TargetMode="External"/><Relationship Id="rId41" Type="http://schemas.openxmlformats.org/officeDocument/2006/relationships/hyperlink" Target="https://tryhackme.com/module/defensive-security" TargetMode="External"/><Relationship Id="rId42" Type="http://schemas.openxmlformats.org/officeDocument/2006/relationships/hyperlink" Target="https://www.coursera.org/learn/automate-cybersecurity-tasks-with-python?specialization=google-cybersecurity" TargetMode="External"/><Relationship Id="rId43" Type="http://schemas.openxmlformats.org/officeDocument/2006/relationships/hyperlink" Target="https://www.coursera.org/professional-certificates/google-cybersecurity" TargetMode="External"/><Relationship Id="rId44" Type="http://schemas.openxmlformats.org/officeDocument/2006/relationships/hyperlink" Target="https://www.coursera.org/learn/automate-cybersecurity-tasks-with-python?specialization=google-cybersecurity" TargetMode="External"/><Relationship Id="rId45" Type="http://schemas.openxmlformats.org/officeDocument/2006/relationships/hyperlink" Target="https://tryhackme.com/path/outline/cybersecurity101" TargetMode="External"/><Relationship Id="rId46" Type="http://schemas.openxmlformats.org/officeDocument/2006/relationships/hyperlink" Target="https://www.coursera.org/learn/prepare-for-cybersecurity-jobs?specialization=google-cybersecurity" TargetMode="External"/><Relationship Id="rId47" Type="http://schemas.openxmlformats.org/officeDocument/2006/relationships/hyperlink" Target="https://www.coursera.org/professional-certificates/google-cybersecurity" TargetMode="External"/><Relationship Id="rId48" Type="http://schemas.openxmlformats.org/officeDocument/2006/relationships/hyperlink" Target="https://www.coursera.org/learn/accelerate-your-job-search-with-ai?specialization=google-cybersecurity" TargetMode="External"/><Relationship Id="rId49" Type="http://schemas.openxmlformats.org/officeDocument/2006/relationships/hyperlink" Target="https://www.coursera.org/learn/prepare-for-cybersecurity-jobs?specialization=google-cybersecurity" TargetMode="External"/><Relationship Id="rId50" Type="http://schemas.openxmlformats.org/officeDocument/2006/relationships/hyperlink" Target="https://www.professormesser.com/security-plus/sy0-701/sy0-701-video/sy0-701-comptia-security-plus-course/" TargetMode="External"/><Relationship Id="rId51" Type="http://schemas.openxmlformats.org/officeDocument/2006/relationships/hyperlink" Target="https://www.coursera.org/professional-certificates/google-cybersecurity" TargetMode="External"/><Relationship Id="rId52" Type="http://schemas.openxmlformats.org/officeDocument/2006/relationships/hyperlink" Target="https://tryhackme.com/path/outline/cybersecurity101" TargetMode="External"/><Relationship Id="rId53" Type="http://schemas.openxmlformats.org/officeDocument/2006/relationships/hyperlink" Target="https://www.cisa.gov/resources-tools/programs/Incident-Response-Training" TargetMode="External"/><Relationship Id="rId54" Type="http://schemas.openxmlformats.org/officeDocument/2006/relationships/hyperlink" Target="https://www.cisa.gov/resources-tools/resources/cisa-learning" TargetMode="External"/><Relationship Id="rId55" Type="http://schemas.openxmlformats.org/officeDocument/2006/relationships/hyperlink" Target="https://www.cisa.gov/critical-infrastructure-training" TargetMode="External"/><Relationship Id="rId56" Type="http://schemas.openxmlformats.org/officeDocument/2006/relationships/hyperlink" Target="https://www.cisa.gov/resources-tools/resources/cyber-security-evaluation-tool-cset-fact-sheet-public-safety" TargetMode="External"/><Relationship Id="rId57" Type="http://schemas.openxmlformats.org/officeDocument/2006/relationships/hyperlink" Target="https://tryhackme.com/module/defensive-security" TargetMode="External"/><Relationship Id="rId58" Type="http://schemas.openxmlformats.org/officeDocument/2006/relationships/hyperlink" Target="https://www.cisa.gov/resources-tools/programs/Incident-Response-Training" TargetMode="External"/><Relationship Id="rId59" Type="http://schemas.openxmlformats.org/officeDocument/2006/relationships/hyperlink" Target="https://www.coursera.org/learn/prepare-for-cybersecurity-jobs?specialization=google-cybersecurity" TargetMode="External"/><Relationship Id="rId60"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professormesser.com/free-a-plus-training/220-1201/220-1201-video/220-1201-training-course/" TargetMode="External"/><Relationship Id="rId2" Type="http://schemas.openxmlformats.org/officeDocument/2006/relationships/hyperlink" Target="https://ubuntu.com/download/desktop" TargetMode="External"/><Relationship Id="rId3" Type="http://schemas.openxmlformats.org/officeDocument/2006/relationships/hyperlink" Target="https://www.professormesser.com/free-a-plus-training/220-1201/220-1201-video/220-1201-training-course/" TargetMode="External"/><Relationship Id="rId4" Type="http://schemas.openxmlformats.org/officeDocument/2006/relationships/hyperlink" Target="https://ubuntu.com/download/desktop" TargetMode="External"/><Relationship Id="rId5" Type="http://schemas.openxmlformats.org/officeDocument/2006/relationships/hyperlink" Target="https://www.professormesser.com/free-a-plus-training/220-1201/220-1201-video/220-1201-training-course/" TargetMode="External"/><Relationship Id="rId6" Type="http://schemas.openxmlformats.org/officeDocument/2006/relationships/hyperlink" Target="https://ubuntu.com/download/desktop" TargetMode="External"/><Relationship Id="rId7" Type="http://schemas.openxmlformats.org/officeDocument/2006/relationships/hyperlink" Target="https://www.professormesser.com/free-a-plus-training/220-1201/220-1201-video/220-1201-training-course/" TargetMode="External"/><Relationship Id="rId8" Type="http://schemas.openxmlformats.org/officeDocument/2006/relationships/hyperlink" Target="https://ubuntu.com/download/desktop" TargetMode="External"/><Relationship Id="rId9" Type="http://schemas.openxmlformats.org/officeDocument/2006/relationships/hyperlink" Target="https://www.professormesser.com/free-a-plus-training/220-1201/220-1201-video/220-1201-training-course/" TargetMode="External"/><Relationship Id="rId10" Type="http://schemas.openxmlformats.org/officeDocument/2006/relationships/hyperlink" Target="https://ubuntu.com/download/desktop" TargetMode="External"/><Relationship Id="rId11" Type="http://schemas.openxmlformats.org/officeDocument/2006/relationships/hyperlink" Target="https://www.professormesser.com/free-a-plus-training/220-1201/220-1201-video/220-1201-training-course/" TargetMode="External"/><Relationship Id="rId12" Type="http://schemas.openxmlformats.org/officeDocument/2006/relationships/hyperlink" Target="https://ubuntu.com/download/desktop" TargetMode="External"/><Relationship Id="rId13" Type="http://schemas.openxmlformats.org/officeDocument/2006/relationships/hyperlink" Target="https://www.professormesser.com/free-a-plus-training/220-1201/220-1201-video/220-1201-training-course/" TargetMode="External"/><Relationship Id="rId14" Type="http://schemas.openxmlformats.org/officeDocument/2006/relationships/hyperlink" Target="https://www.virtualbox.org/wiki/Downloads" TargetMode="External"/><Relationship Id="rId15" Type="http://schemas.openxmlformats.org/officeDocument/2006/relationships/hyperlink" Target="https://www.professormesser.com/free-a-plus-training/220-1201/220-1201-video/220-1201-training-course/" TargetMode="External"/><Relationship Id="rId16" Type="http://schemas.openxmlformats.org/officeDocument/2006/relationships/hyperlink" Target="https://www.virtualbox.org/wiki/Downloads" TargetMode="External"/><Relationship Id="rId17" Type="http://schemas.openxmlformats.org/officeDocument/2006/relationships/hyperlink" Target="https://www.professormesser.com/free-a-plus-training/220-1201/220-1201-video/220-1201-training-course/" TargetMode="External"/><Relationship Id="rId18" Type="http://schemas.openxmlformats.org/officeDocument/2006/relationships/hyperlink" Target="https://www.virtualbox.org/wiki/Downloads" TargetMode="External"/><Relationship Id="rId19" Type="http://schemas.openxmlformats.org/officeDocument/2006/relationships/hyperlink" Target="https://www.professormesser.com/free-a-plus-training/220-1201/220-1201-video/220-1201-training-course/" TargetMode="External"/><Relationship Id="rId20" Type="http://schemas.openxmlformats.org/officeDocument/2006/relationships/hyperlink" Target="https://www.virtualbox.org/wiki/Downloads" TargetMode="External"/><Relationship Id="rId21" Type="http://schemas.openxmlformats.org/officeDocument/2006/relationships/hyperlink" Target="https://www.professormesser.com/free-a-plus-training/220-1201/220-1201-video/220-1201-training-course/" TargetMode="External"/><Relationship Id="rId22" Type="http://schemas.openxmlformats.org/officeDocument/2006/relationships/hyperlink" Target="https://www.virtualbox.org/wiki/Downloads" TargetMode="External"/><Relationship Id="rId23" Type="http://schemas.openxmlformats.org/officeDocument/2006/relationships/hyperlink" Target="https://www.professormesser.com/free-a-plus-training/220-1201/220-1201-video/220-1201-training-course/" TargetMode="External"/><Relationship Id="rId24" Type="http://schemas.openxmlformats.org/officeDocument/2006/relationships/hyperlink" Target="https://www.virtualbox.org/wiki/Downloads" TargetMode="External"/><Relationship Id="rId25" Type="http://schemas.openxmlformats.org/officeDocument/2006/relationships/hyperlink" Target="https://www.professormesser.com/free-a-plus-training/220-1202/220-1202-video/220-1202-training-course/" TargetMode="External"/><Relationship Id="rId26" Type="http://schemas.openxmlformats.org/officeDocument/2006/relationships/hyperlink" Target="https://www.netdevgroup.com/online/courses/open-source/linux-unhatched" TargetMode="External"/><Relationship Id="rId27" Type="http://schemas.openxmlformats.org/officeDocument/2006/relationships/hyperlink" Target="https://www.professormesser.com/free-a-plus-training/220-1202/220-1202-video/220-1202-training-course/" TargetMode="External"/><Relationship Id="rId28" Type="http://schemas.openxmlformats.org/officeDocument/2006/relationships/hyperlink" Target="https://www.netdevgroup.com/online/courses/open-source/linux-unhatched" TargetMode="External"/><Relationship Id="rId29" Type="http://schemas.openxmlformats.org/officeDocument/2006/relationships/hyperlink" Target="https://www.professormesser.com/free-a-plus-training/220-1202/220-1202-video/220-1202-training-course/" TargetMode="External"/><Relationship Id="rId30" Type="http://schemas.openxmlformats.org/officeDocument/2006/relationships/hyperlink" Target="https://www.netdevgroup.com/online/courses/open-source/linux-unhatched" TargetMode="External"/><Relationship Id="rId31" Type="http://schemas.openxmlformats.org/officeDocument/2006/relationships/hyperlink" Target="https://www.professormesser.com/free-a-plus-training/220-1202/220-1202-video/220-1202-training-course/" TargetMode="External"/><Relationship Id="rId32" Type="http://schemas.openxmlformats.org/officeDocument/2006/relationships/hyperlink" Target="https://www.netdevgroup.com/online/courses/open-source/linux-unhatched" TargetMode="External"/><Relationship Id="rId33" Type="http://schemas.openxmlformats.org/officeDocument/2006/relationships/hyperlink" Target="https://www.professormesser.com/free-a-plus-training/220-1202/220-1202-video/220-1202-training-course/" TargetMode="External"/><Relationship Id="rId34" Type="http://schemas.openxmlformats.org/officeDocument/2006/relationships/hyperlink" Target="https://www.netdevgroup.com/online/courses/open-source/linux-unhatched" TargetMode="External"/><Relationship Id="rId35" Type="http://schemas.openxmlformats.org/officeDocument/2006/relationships/hyperlink" Target="https://www.professormesser.com/free-a-plus-training/220-1202/220-1202-video/220-1202-training-course/" TargetMode="External"/><Relationship Id="rId36" Type="http://schemas.openxmlformats.org/officeDocument/2006/relationships/hyperlink" Target="https://www.netdevgroup.com/online/courses/open-source/linux-unhatched" TargetMode="External"/><Relationship Id="rId37" Type="http://schemas.openxmlformats.org/officeDocument/2006/relationships/hyperlink" Target="https://www.professormesser.com/free-a-plus-training/220-1202/220-1202-video/220-1202-training-course/" TargetMode="External"/><Relationship Id="rId38" Type="http://schemas.openxmlformats.org/officeDocument/2006/relationships/hyperlink" Target="https://www.professormesser.com/security-plus/sy0-701/sy0-701-video/sy0-701-comptia-security-plus-course/" TargetMode="External"/><Relationship Id="rId39" Type="http://schemas.openxmlformats.org/officeDocument/2006/relationships/hyperlink" Target="https://www.professormesser.com/free-a-plus-training/220-1202/220-1202-video/220-1202-training-course/" TargetMode="External"/><Relationship Id="rId40" Type="http://schemas.openxmlformats.org/officeDocument/2006/relationships/hyperlink" Target="https://www.professormesser.com/security-plus/sy0-701/sy0-701-video/sy0-701-comptia-security-plus-course/" TargetMode="External"/><Relationship Id="rId41" Type="http://schemas.openxmlformats.org/officeDocument/2006/relationships/hyperlink" Target="https://www.professormesser.com/free-a-plus-training/220-1202/220-1202-video/220-1202-training-course/" TargetMode="External"/><Relationship Id="rId42" Type="http://schemas.openxmlformats.org/officeDocument/2006/relationships/hyperlink" Target="https://www.professormesser.com/security-plus/sy0-701/sy0-701-video/sy0-701-comptia-security-plus-course/" TargetMode="External"/><Relationship Id="rId43" Type="http://schemas.openxmlformats.org/officeDocument/2006/relationships/hyperlink" Target="https://www.professormesser.com/free-a-plus-training/220-1202/220-1202-video/220-1202-training-course/" TargetMode="External"/><Relationship Id="rId44" Type="http://schemas.openxmlformats.org/officeDocument/2006/relationships/hyperlink" Target="https://www.professormesser.com/security-plus/sy0-701/sy0-701-video/sy0-701-comptia-security-plus-course/" TargetMode="External"/><Relationship Id="rId45" Type="http://schemas.openxmlformats.org/officeDocument/2006/relationships/hyperlink" Target="https://www.professormesser.com/free-a-plus-training/220-1202/220-1202-video/220-1202-training-course/" TargetMode="External"/><Relationship Id="rId46" Type="http://schemas.openxmlformats.org/officeDocument/2006/relationships/hyperlink" Target="https://www.professormesser.com/security-plus/sy0-701/sy0-701-video/sy0-701-comptia-security-plus-course/" TargetMode="External"/><Relationship Id="rId47" Type="http://schemas.openxmlformats.org/officeDocument/2006/relationships/hyperlink" Target="https://www.professormesser.com/free-a-plus-training/220-1202/220-1202-video/220-1202-training-course/" TargetMode="External"/><Relationship Id="rId48" Type="http://schemas.openxmlformats.org/officeDocument/2006/relationships/hyperlink" Target="https://www.professormesser.com/security-plus/sy0-701/sy0-701-video/sy0-701-comptia-security-plus-course/" TargetMode="External"/><Relationship Id="rId49" Type="http://schemas.openxmlformats.org/officeDocument/2006/relationships/hyperlink" Target="https://www.netdevgroup.com/online/courses/open-source/linux-unhatched" TargetMode="External"/><Relationship Id="rId50" Type="http://schemas.openxmlformats.org/officeDocument/2006/relationships/hyperlink" Target="https://www.virtualbox.org/wiki/Downloads" TargetMode="External"/><Relationship Id="rId51" Type="http://schemas.openxmlformats.org/officeDocument/2006/relationships/hyperlink" Target="https://www.netdevgroup.com/online/courses/open-source/linux-unhatched" TargetMode="External"/><Relationship Id="rId52" Type="http://schemas.openxmlformats.org/officeDocument/2006/relationships/hyperlink" Target="https://www.virtualbox.org/wiki/Downloads" TargetMode="External"/><Relationship Id="rId53" Type="http://schemas.openxmlformats.org/officeDocument/2006/relationships/hyperlink" Target="https://www.netdevgroup.com/online/courses/open-source/linux-unhatched" TargetMode="External"/><Relationship Id="rId54" Type="http://schemas.openxmlformats.org/officeDocument/2006/relationships/hyperlink" Target="https://www.virtualbox.org/wiki/Downloads" TargetMode="External"/><Relationship Id="rId55" Type="http://schemas.openxmlformats.org/officeDocument/2006/relationships/hyperlink" Target="https://www.netdevgroup.com/online/courses/open-source/linux-unhatched" TargetMode="External"/><Relationship Id="rId56" Type="http://schemas.openxmlformats.org/officeDocument/2006/relationships/hyperlink" Target="https://www.virtualbox.org/wiki/Downloads" TargetMode="External"/><Relationship Id="rId57" Type="http://schemas.openxmlformats.org/officeDocument/2006/relationships/hyperlink" Target="https://www.netdevgroup.com/online/courses/open-source/linux-unhatched" TargetMode="External"/><Relationship Id="rId58" Type="http://schemas.openxmlformats.org/officeDocument/2006/relationships/hyperlink" Target="https://www.virtualbox.org/wiki/Downloads" TargetMode="External"/><Relationship Id="rId59" Type="http://schemas.openxmlformats.org/officeDocument/2006/relationships/hyperlink" Target="https://www.netdevgroup.com/online/courses/open-source/linux-unhatched" TargetMode="External"/><Relationship Id="rId60" Type="http://schemas.openxmlformats.org/officeDocument/2006/relationships/hyperlink" Target="https://www.virtualbox.org/wiki/Downloads" TargetMode="External"/><Relationship Id="rId61" Type="http://schemas.openxmlformats.org/officeDocument/2006/relationships/hyperlink" Target="https://www.cisco.com/site/us/en/learn/training-certifications/training/courses/ccst-networking.html" TargetMode="External"/><Relationship Id="rId62" Type="http://schemas.openxmlformats.org/officeDocument/2006/relationships/hyperlink" Target="https://www.professormesser.com/network-plus/n10-009/n10-009-video/n10-009-training-course/" TargetMode="External"/><Relationship Id="rId63" Type="http://schemas.openxmlformats.org/officeDocument/2006/relationships/hyperlink" Target="https://www.cisco.com/site/us/en/learn/training-certifications/training/courses/ccst-networking.html" TargetMode="External"/><Relationship Id="rId64" Type="http://schemas.openxmlformats.org/officeDocument/2006/relationships/hyperlink" Target="https://www.professormesser.com/network-plus/n10-009/n10-009-video/n10-009-training-course/" TargetMode="External"/><Relationship Id="rId65" Type="http://schemas.openxmlformats.org/officeDocument/2006/relationships/hyperlink" Target="https://www.cisco.com/site/us/en/learn/training-certifications/training/courses/ccst-networking.html" TargetMode="External"/><Relationship Id="rId66" Type="http://schemas.openxmlformats.org/officeDocument/2006/relationships/hyperlink" Target="https://www.professormesser.com/network-plus/n10-009/n10-009-video/n10-009-training-course/" TargetMode="External"/><Relationship Id="rId67" Type="http://schemas.openxmlformats.org/officeDocument/2006/relationships/hyperlink" Target="https://www.cisco.com/site/us/en/learn/training-certifications/training/courses/ccst-networking.html" TargetMode="External"/><Relationship Id="rId68" Type="http://schemas.openxmlformats.org/officeDocument/2006/relationships/hyperlink" Target="https://www.professormesser.com/network-plus/n10-009/n10-009-video/n10-009-training-course/" TargetMode="External"/><Relationship Id="rId69" Type="http://schemas.openxmlformats.org/officeDocument/2006/relationships/hyperlink" Target="https://www.cisco.com/site/us/en/learn/training-certifications/training/courses/ccst-networking.html" TargetMode="External"/><Relationship Id="rId70" Type="http://schemas.openxmlformats.org/officeDocument/2006/relationships/hyperlink" Target="https://www.professormesser.com/network-plus/n10-009/n10-009-video/n10-009-training-course/" TargetMode="External"/><Relationship Id="rId71" Type="http://schemas.openxmlformats.org/officeDocument/2006/relationships/hyperlink" Target="https://www.cisco.com/site/us/en/learn/training-certifications/training/courses/ccst-networking.html" TargetMode="External"/><Relationship Id="rId72" Type="http://schemas.openxmlformats.org/officeDocument/2006/relationships/hyperlink" Target="https://www.professormesser.com/network-plus/n10-009/n10-009-video/n10-009-training-course/" TargetMode="External"/><Relationship Id="rId73" Type="http://schemas.openxmlformats.org/officeDocument/2006/relationships/hyperlink" Target="https://www.cisco.com/site/us/en/learn/training-certifications/training/courses/ccst-networking.html" TargetMode="External"/><Relationship Id="rId74" Type="http://schemas.openxmlformats.org/officeDocument/2006/relationships/hyperlink" Target="https://contenthub.netacad.com/courses/srwe/_common/1.1.7-lab---basic-switch-configuration.pdf" TargetMode="External"/><Relationship Id="rId75" Type="http://schemas.openxmlformats.org/officeDocument/2006/relationships/hyperlink" Target="https://www.cisco.com/site/us/en/learn/training-certifications/training/courses/ccst-networking.html" TargetMode="External"/><Relationship Id="rId76" Type="http://schemas.openxmlformats.org/officeDocument/2006/relationships/hyperlink" Target="https://contenthub.netacad.com/courses/srwe/_common/1.1.7-lab---basic-switch-configuration.pdf" TargetMode="External"/><Relationship Id="rId77" Type="http://schemas.openxmlformats.org/officeDocument/2006/relationships/hyperlink" Target="https://www.cisco.com/site/us/en/learn/training-certifications/training/courses/ccst-networking.html" TargetMode="External"/><Relationship Id="rId78" Type="http://schemas.openxmlformats.org/officeDocument/2006/relationships/hyperlink" Target="https://contenthub.netacad.com/courses/srwe/_common/1.1.7-lab---basic-switch-configuration.pdf" TargetMode="External"/><Relationship Id="rId79" Type="http://schemas.openxmlformats.org/officeDocument/2006/relationships/hyperlink" Target="https://www.cisco.com/site/us/en/learn/training-certifications/training/courses/ccst-networking.html" TargetMode="External"/><Relationship Id="rId80" Type="http://schemas.openxmlformats.org/officeDocument/2006/relationships/hyperlink" Target="https://contenthub.netacad.com/courses/srwe/_common/1.1.7-lab---basic-switch-configuration.pdf" TargetMode="External"/><Relationship Id="rId81" Type="http://schemas.openxmlformats.org/officeDocument/2006/relationships/hyperlink" Target="https://www.cisco.com/site/us/en/learn/training-certifications/training/courses/ccst-networking.html" TargetMode="External"/><Relationship Id="rId82" Type="http://schemas.openxmlformats.org/officeDocument/2006/relationships/hyperlink" Target="https://contenthub.netacad.com/courses/srwe/_common/1.1.7-lab---basic-switch-configuration.pdf" TargetMode="External"/><Relationship Id="rId83" Type="http://schemas.openxmlformats.org/officeDocument/2006/relationships/hyperlink" Target="https://www.cisco.com/site/us/en/learn/training-certifications/training/courses/ccst-networking.html" TargetMode="External"/><Relationship Id="rId84" Type="http://schemas.openxmlformats.org/officeDocument/2006/relationships/hyperlink" Target="https://contenthub.netacad.com/courses/srwe/_common/1.1.7-lab---basic-switch-configuration.pdf" TargetMode="External"/><Relationship Id="rId85" Type="http://schemas.openxmlformats.org/officeDocument/2006/relationships/hyperlink" Target="https://www.cisco.com/site/us/en/learn/training-certifications/training/courses/ccst-networking.html" TargetMode="External"/><Relationship Id="rId86" Type="http://schemas.openxmlformats.org/officeDocument/2006/relationships/hyperlink" Target="https://www.professormesser.com/network-plus/n10-009/n10-009-video/n10-009-training-course/" TargetMode="External"/><Relationship Id="rId87" Type="http://schemas.openxmlformats.org/officeDocument/2006/relationships/hyperlink" Target="https://www.cisco.com/site/us/en/learn/training-certifications/training/courses/ccst-networking.html" TargetMode="External"/><Relationship Id="rId88" Type="http://schemas.openxmlformats.org/officeDocument/2006/relationships/hyperlink" Target="https://www.professormesser.com/network-plus/n10-009/n10-009-video/n10-009-training-course/" TargetMode="External"/><Relationship Id="rId89" Type="http://schemas.openxmlformats.org/officeDocument/2006/relationships/hyperlink" Target="https://www.cisco.com/site/us/en/learn/training-certifications/training/courses/ccst-networking.html" TargetMode="External"/><Relationship Id="rId90" Type="http://schemas.openxmlformats.org/officeDocument/2006/relationships/hyperlink" Target="https://www.professormesser.com/network-plus/n10-009/n10-009-video/n10-009-training-course/" TargetMode="External"/><Relationship Id="rId91" Type="http://schemas.openxmlformats.org/officeDocument/2006/relationships/hyperlink" Target="https://www.cisco.com/site/us/en/learn/training-certifications/training/courses/ccst-networking.html" TargetMode="External"/><Relationship Id="rId92" Type="http://schemas.openxmlformats.org/officeDocument/2006/relationships/hyperlink" Target="https://www.professormesser.com/network-plus/n10-009/n10-009-video/n10-009-training-course/" TargetMode="External"/><Relationship Id="rId93" Type="http://schemas.openxmlformats.org/officeDocument/2006/relationships/hyperlink" Target="https://www.cisco.com/site/us/en/learn/training-certifications/training/courses/ccst-networking.html" TargetMode="External"/><Relationship Id="rId94" Type="http://schemas.openxmlformats.org/officeDocument/2006/relationships/hyperlink" Target="https://www.professormesser.com/network-plus/n10-009/n10-009-video/n10-009-training-course/" TargetMode="External"/><Relationship Id="rId95" Type="http://schemas.openxmlformats.org/officeDocument/2006/relationships/hyperlink" Target="https://www.cisco.com/site/us/en/learn/training-certifications/training/courses/ccst-networking.html" TargetMode="External"/><Relationship Id="rId96" Type="http://schemas.openxmlformats.org/officeDocument/2006/relationships/hyperlink" Target="https://www.professormesser.com/network-plus/n10-009/n10-009-video/n10-009-training-course/" TargetMode="External"/><Relationship Id="rId97" Type="http://schemas.openxmlformats.org/officeDocument/2006/relationships/hyperlink" Target="https://www.cisco.com/site/us/en/learn/training-certifications/training/courses/ccst-networking.html" TargetMode="External"/><Relationship Id="rId98" Type="http://schemas.openxmlformats.org/officeDocument/2006/relationships/hyperlink" Target="https://contenthub.netacad.com/courses/netess/_common/4.5.8-lab---trace-a-route.html" TargetMode="External"/><Relationship Id="rId99" Type="http://schemas.openxmlformats.org/officeDocument/2006/relationships/hyperlink" Target="https://www.cisco.com/site/us/en/learn/training-certifications/training/courses/ccst-networking.html" TargetMode="External"/><Relationship Id="rId100" Type="http://schemas.openxmlformats.org/officeDocument/2006/relationships/hyperlink" Target="https://contenthub.netacad.com/courses/netess/_common/4.5.8-lab---trace-a-route.html" TargetMode="External"/><Relationship Id="rId101" Type="http://schemas.openxmlformats.org/officeDocument/2006/relationships/hyperlink" Target="https://www.cisco.com/site/us/en/learn/training-certifications/training/courses/ccst-networking.html" TargetMode="External"/><Relationship Id="rId102" Type="http://schemas.openxmlformats.org/officeDocument/2006/relationships/hyperlink" Target="https://contenthub.netacad.com/courses/netess/_common/4.5.8-lab---trace-a-route.html" TargetMode="External"/><Relationship Id="rId103" Type="http://schemas.openxmlformats.org/officeDocument/2006/relationships/hyperlink" Target="https://www.cisco.com/site/us/en/learn/training-certifications/training/courses/ccst-networking.html" TargetMode="External"/><Relationship Id="rId104" Type="http://schemas.openxmlformats.org/officeDocument/2006/relationships/hyperlink" Target="https://contenthub.netacad.com/courses/netess/_common/4.5.8-lab---trace-a-route.html" TargetMode="External"/><Relationship Id="rId105" Type="http://schemas.openxmlformats.org/officeDocument/2006/relationships/hyperlink" Target="https://www.cisco.com/site/us/en/learn/training-certifications/training/courses/ccst-networking.html" TargetMode="External"/><Relationship Id="rId106" Type="http://schemas.openxmlformats.org/officeDocument/2006/relationships/hyperlink" Target="https://contenthub.netacad.com/courses/netess/_common/4.5.8-lab---trace-a-route.html" TargetMode="External"/><Relationship Id="rId107" Type="http://schemas.openxmlformats.org/officeDocument/2006/relationships/hyperlink" Target="https://www.cisco.com/site/us/en/learn/training-certifications/training/courses/ccst-networking.html" TargetMode="External"/><Relationship Id="rId108" Type="http://schemas.openxmlformats.org/officeDocument/2006/relationships/hyperlink" Target="https://contenthub.netacad.com/courses/netess/_common/4.5.8-lab---trace-a-route.html" TargetMode="External"/><Relationship Id="rId109" Type="http://schemas.openxmlformats.org/officeDocument/2006/relationships/hyperlink" Target="https://www.cisco.com/site/us/en/learn/training-certifications/training/courses/ccst-networking.html" TargetMode="External"/><Relationship Id="rId110" Type="http://schemas.openxmlformats.org/officeDocument/2006/relationships/hyperlink" Target="https://www.wireshark.org/download.html" TargetMode="External"/><Relationship Id="rId111" Type="http://schemas.openxmlformats.org/officeDocument/2006/relationships/hyperlink" Target="https://www.cisco.com/site/us/en/learn/training-certifications/training/courses/ccst-networking.html" TargetMode="External"/><Relationship Id="rId112" Type="http://schemas.openxmlformats.org/officeDocument/2006/relationships/hyperlink" Target="https://www.wireshark.org/download.html" TargetMode="External"/><Relationship Id="rId113" Type="http://schemas.openxmlformats.org/officeDocument/2006/relationships/hyperlink" Target="https://www.cisco.com/site/us/en/learn/training-certifications/training/courses/ccst-networking.html" TargetMode="External"/><Relationship Id="rId114" Type="http://schemas.openxmlformats.org/officeDocument/2006/relationships/hyperlink" Target="https://www.wireshark.org/download.html" TargetMode="External"/><Relationship Id="rId115" Type="http://schemas.openxmlformats.org/officeDocument/2006/relationships/hyperlink" Target="https://www.cisco.com/site/us/en/learn/training-certifications/training/courses/ccst-networking.html" TargetMode="External"/><Relationship Id="rId116" Type="http://schemas.openxmlformats.org/officeDocument/2006/relationships/hyperlink" Target="https://www.wireshark.org/download.html" TargetMode="External"/><Relationship Id="rId117" Type="http://schemas.openxmlformats.org/officeDocument/2006/relationships/hyperlink" Target="https://www.cisco.com/site/us/en/learn/training-certifications/training/courses/ccst-networking.html" TargetMode="External"/><Relationship Id="rId118" Type="http://schemas.openxmlformats.org/officeDocument/2006/relationships/hyperlink" Target="https://www.wireshark.org/download.html" TargetMode="External"/><Relationship Id="rId119" Type="http://schemas.openxmlformats.org/officeDocument/2006/relationships/hyperlink" Target="https://www.cisco.com/site/us/en/learn/training-certifications/training/courses/ccst-networking.html" TargetMode="External"/><Relationship Id="rId120" Type="http://schemas.openxmlformats.org/officeDocument/2006/relationships/hyperlink" Target="https://www.wireshark.org/download.html" TargetMode="External"/><Relationship Id="rId121" Type="http://schemas.openxmlformats.org/officeDocument/2006/relationships/hyperlink" Target="https://www.wireshark.org/download.html" TargetMode="External"/><Relationship Id="rId122" Type="http://schemas.openxmlformats.org/officeDocument/2006/relationships/hyperlink" Target="https://contenthub.netacad.com/courses/cyberops/_common/5.3.7-lab---introduction-to-wireshark.pdf" TargetMode="External"/><Relationship Id="rId123" Type="http://schemas.openxmlformats.org/officeDocument/2006/relationships/hyperlink" Target="https://www.wireshark.org/download.html" TargetMode="External"/><Relationship Id="rId124" Type="http://schemas.openxmlformats.org/officeDocument/2006/relationships/hyperlink" Target="https://contenthub.netacad.com/courses/cyberops/_common/5.3.7-lab---introduction-to-wireshark.pdf" TargetMode="External"/><Relationship Id="rId125" Type="http://schemas.openxmlformats.org/officeDocument/2006/relationships/hyperlink" Target="https://www.wireshark.org/download.html" TargetMode="External"/><Relationship Id="rId126" Type="http://schemas.openxmlformats.org/officeDocument/2006/relationships/hyperlink" Target="https://contenthub.netacad.com/courses/cyberops/_common/5.3.7-lab---introduction-to-wireshark.pdf" TargetMode="External"/><Relationship Id="rId127" Type="http://schemas.openxmlformats.org/officeDocument/2006/relationships/hyperlink" Target="https://www.wireshark.org/download.html" TargetMode="External"/><Relationship Id="rId128" Type="http://schemas.openxmlformats.org/officeDocument/2006/relationships/hyperlink" Target="https://contenthub.netacad.com/courses/cyberops/_common/5.3.7-lab---introduction-to-wireshark.pdf" TargetMode="External"/><Relationship Id="rId129" Type="http://schemas.openxmlformats.org/officeDocument/2006/relationships/hyperlink" Target="https://www.wireshark.org/download.html" TargetMode="External"/><Relationship Id="rId130" Type="http://schemas.openxmlformats.org/officeDocument/2006/relationships/hyperlink" Target="https://contenthub.netacad.com/courses/cyberops/_common/5.3.7-lab---introduction-to-wireshark.pdf" TargetMode="External"/><Relationship Id="rId131" Type="http://schemas.openxmlformats.org/officeDocument/2006/relationships/hyperlink" Target="https://www.wireshark.org/download.html" TargetMode="External"/><Relationship Id="rId132" Type="http://schemas.openxmlformats.org/officeDocument/2006/relationships/hyperlink" Target="https://contenthub.netacad.com/courses/cyberops/_common/5.3.7-lab---introduction-to-wireshark.pdf" TargetMode="External"/><Relationship Id="rId133" Type="http://schemas.openxmlformats.org/officeDocument/2006/relationships/hyperlink" Target="https://tryhackme.com/path/outline/presecurity" TargetMode="External"/><Relationship Id="rId134" Type="http://schemas.openxmlformats.org/officeDocument/2006/relationships/hyperlink" Target="https://www.professormesser.com/network-plus/n10-009/n10-009-video/n10-009-training-course/" TargetMode="External"/><Relationship Id="rId135" Type="http://schemas.openxmlformats.org/officeDocument/2006/relationships/hyperlink" Target="https://tryhackme.com/path/outline/presecurity" TargetMode="External"/><Relationship Id="rId136" Type="http://schemas.openxmlformats.org/officeDocument/2006/relationships/hyperlink" Target="https://www.professormesser.com/network-plus/n10-009/n10-009-video/n10-009-training-course/" TargetMode="External"/><Relationship Id="rId137" Type="http://schemas.openxmlformats.org/officeDocument/2006/relationships/hyperlink" Target="https://tryhackme.com/path/outline/presecurity" TargetMode="External"/><Relationship Id="rId138" Type="http://schemas.openxmlformats.org/officeDocument/2006/relationships/hyperlink" Target="https://www.professormesser.com/network-plus/n10-009/n10-009-video/n10-009-training-course/" TargetMode="External"/><Relationship Id="rId139" Type="http://schemas.openxmlformats.org/officeDocument/2006/relationships/hyperlink" Target="https://tryhackme.com/path/outline/presecurity" TargetMode="External"/><Relationship Id="rId140" Type="http://schemas.openxmlformats.org/officeDocument/2006/relationships/hyperlink" Target="https://www.professormesser.com/network-plus/n10-009/n10-009-video/n10-009-training-course/" TargetMode="External"/><Relationship Id="rId141" Type="http://schemas.openxmlformats.org/officeDocument/2006/relationships/hyperlink" Target="https://tryhackme.com/path/outline/presecurity" TargetMode="External"/><Relationship Id="rId142" Type="http://schemas.openxmlformats.org/officeDocument/2006/relationships/hyperlink" Target="https://www.professormesser.com/network-plus/n10-009/n10-009-video/n10-009-training-course/" TargetMode="External"/><Relationship Id="rId143" Type="http://schemas.openxmlformats.org/officeDocument/2006/relationships/hyperlink" Target="https://tryhackme.com/path/outline/presecurity" TargetMode="External"/><Relationship Id="rId144" Type="http://schemas.openxmlformats.org/officeDocument/2006/relationships/hyperlink" Target="https://www.professormesser.com/network-plus/n10-009/n10-009-video/n10-009-training-course/" TargetMode="External"/><Relationship Id="rId145" Type="http://schemas.openxmlformats.org/officeDocument/2006/relationships/hyperlink" Target="https://www.coursera.org/learn/foundations-of-cybersecurity?specialization=google-cybersecurity" TargetMode="External"/><Relationship Id="rId146" Type="http://schemas.openxmlformats.org/officeDocument/2006/relationships/hyperlink" Target="https://www.professormesser.com/security-plus/sy0-701/sy0-701-video/sy0-701-comptia-security-plus-course/" TargetMode="External"/><Relationship Id="rId147" Type="http://schemas.openxmlformats.org/officeDocument/2006/relationships/hyperlink" Target="https://www.coursera.org/learn/foundations-of-cybersecurity?specialization=google-cybersecurity" TargetMode="External"/><Relationship Id="rId148" Type="http://schemas.openxmlformats.org/officeDocument/2006/relationships/hyperlink" Target="https://www.professormesser.com/security-plus/sy0-701/sy0-701-video/sy0-701-comptia-security-plus-course/" TargetMode="External"/><Relationship Id="rId149" Type="http://schemas.openxmlformats.org/officeDocument/2006/relationships/hyperlink" Target="https://www.coursera.org/learn/foundations-of-cybersecurity?specialization=google-cybersecurity" TargetMode="External"/><Relationship Id="rId150" Type="http://schemas.openxmlformats.org/officeDocument/2006/relationships/hyperlink" Target="https://www.professormesser.com/security-plus/sy0-701/sy0-701-video/sy0-701-comptia-security-plus-course/" TargetMode="External"/><Relationship Id="rId151" Type="http://schemas.openxmlformats.org/officeDocument/2006/relationships/hyperlink" Target="https://www.coursera.org/learn/foundations-of-cybersecurity?specialization=google-cybersecurity" TargetMode="External"/><Relationship Id="rId152" Type="http://schemas.openxmlformats.org/officeDocument/2006/relationships/hyperlink" Target="https://www.professormesser.com/security-plus/sy0-701/sy0-701-video/sy0-701-comptia-security-plus-course/" TargetMode="External"/><Relationship Id="rId153" Type="http://schemas.openxmlformats.org/officeDocument/2006/relationships/hyperlink" Target="https://www.coursera.org/learn/foundations-of-cybersecurity?specialization=google-cybersecurity" TargetMode="External"/><Relationship Id="rId154" Type="http://schemas.openxmlformats.org/officeDocument/2006/relationships/hyperlink" Target="https://www.professormesser.com/security-plus/sy0-701/sy0-701-video/sy0-701-comptia-security-plus-course/" TargetMode="External"/><Relationship Id="rId155" Type="http://schemas.openxmlformats.org/officeDocument/2006/relationships/hyperlink" Target="https://www.coursera.org/learn/foundations-of-cybersecurity?specialization=google-cybersecurity" TargetMode="External"/><Relationship Id="rId156" Type="http://schemas.openxmlformats.org/officeDocument/2006/relationships/hyperlink" Target="https://www.professormesser.com/security-plus/sy0-701/sy0-701-video/sy0-701-comptia-security-plus-course/" TargetMode="External"/><Relationship Id="rId157" Type="http://schemas.openxmlformats.org/officeDocument/2006/relationships/hyperlink" Target="https://www.coursera.org/learn/manage-security-risks?specialization=google-cybersecurity" TargetMode="External"/><Relationship Id="rId158" Type="http://schemas.openxmlformats.org/officeDocument/2006/relationships/hyperlink" Target="https://www.coursera.org/learn/manage-security-risks?specialization=google-cybersecurity" TargetMode="External"/><Relationship Id="rId159" Type="http://schemas.openxmlformats.org/officeDocument/2006/relationships/hyperlink" Target="https://www.coursera.org/learn/manage-security-risks?specialization=google-cybersecurity" TargetMode="External"/><Relationship Id="rId160" Type="http://schemas.openxmlformats.org/officeDocument/2006/relationships/hyperlink" Target="https://www.coursera.org/learn/manage-security-risks?specialization=google-cybersecurity" TargetMode="External"/><Relationship Id="rId161" Type="http://schemas.openxmlformats.org/officeDocument/2006/relationships/hyperlink" Target="https://www.coursera.org/learn/manage-security-risks?specialization=google-cybersecurity" TargetMode="External"/><Relationship Id="rId162" Type="http://schemas.openxmlformats.org/officeDocument/2006/relationships/hyperlink" Target="https://www.coursera.org/learn/manage-security-risks?specialization=google-cybersecurity" TargetMode="External"/><Relationship Id="rId163" Type="http://schemas.openxmlformats.org/officeDocument/2006/relationships/hyperlink" Target="https://www.coursera.org/learn/networks-and-network-security?specialization=google-cybersecurity" TargetMode="External"/><Relationship Id="rId164" Type="http://schemas.openxmlformats.org/officeDocument/2006/relationships/hyperlink" Target="https://www.wireshark.org/download.html" TargetMode="External"/><Relationship Id="rId165" Type="http://schemas.openxmlformats.org/officeDocument/2006/relationships/hyperlink" Target="https://www.coursera.org/learn/networks-and-network-security?specialization=google-cybersecurity" TargetMode="External"/><Relationship Id="rId166" Type="http://schemas.openxmlformats.org/officeDocument/2006/relationships/hyperlink" Target="https://www.wireshark.org/download.html" TargetMode="External"/><Relationship Id="rId167" Type="http://schemas.openxmlformats.org/officeDocument/2006/relationships/hyperlink" Target="https://www.coursera.org/learn/networks-and-network-security?specialization=google-cybersecurity" TargetMode="External"/><Relationship Id="rId168" Type="http://schemas.openxmlformats.org/officeDocument/2006/relationships/hyperlink" Target="https://www.wireshark.org/download.html" TargetMode="External"/><Relationship Id="rId169" Type="http://schemas.openxmlformats.org/officeDocument/2006/relationships/hyperlink" Target="https://www.coursera.org/learn/networks-and-network-security?specialization=google-cybersecurity" TargetMode="External"/><Relationship Id="rId170" Type="http://schemas.openxmlformats.org/officeDocument/2006/relationships/hyperlink" Target="https://www.wireshark.org/download.html" TargetMode="External"/><Relationship Id="rId171" Type="http://schemas.openxmlformats.org/officeDocument/2006/relationships/hyperlink" Target="https://www.coursera.org/learn/networks-and-network-security?specialization=google-cybersecurity" TargetMode="External"/><Relationship Id="rId172" Type="http://schemas.openxmlformats.org/officeDocument/2006/relationships/hyperlink" Target="https://www.wireshark.org/download.html" TargetMode="External"/><Relationship Id="rId173" Type="http://schemas.openxmlformats.org/officeDocument/2006/relationships/hyperlink" Target="https://www.coursera.org/learn/networks-and-network-security?specialization=google-cybersecurity" TargetMode="External"/><Relationship Id="rId174" Type="http://schemas.openxmlformats.org/officeDocument/2006/relationships/hyperlink" Target="https://www.wireshark.org/download.html" TargetMode="External"/><Relationship Id="rId175" Type="http://schemas.openxmlformats.org/officeDocument/2006/relationships/hyperlink" Target="https://www.coursera.org/learn/linux-and-sql?specialization=google-cybersecurity" TargetMode="External"/><Relationship Id="rId176" Type="http://schemas.openxmlformats.org/officeDocument/2006/relationships/hyperlink" Target="https://www.netdevgroup.com/online/courses/open-source/linux-unhatched" TargetMode="External"/><Relationship Id="rId177" Type="http://schemas.openxmlformats.org/officeDocument/2006/relationships/hyperlink" Target="https://www.coursera.org/learn/linux-and-sql?specialization=google-cybersecurity" TargetMode="External"/><Relationship Id="rId178" Type="http://schemas.openxmlformats.org/officeDocument/2006/relationships/hyperlink" Target="https://www.netdevgroup.com/online/courses/open-source/linux-unhatched" TargetMode="External"/><Relationship Id="rId179" Type="http://schemas.openxmlformats.org/officeDocument/2006/relationships/hyperlink" Target="https://www.coursera.org/learn/linux-and-sql?specialization=google-cybersecurity" TargetMode="External"/><Relationship Id="rId180" Type="http://schemas.openxmlformats.org/officeDocument/2006/relationships/hyperlink" Target="https://www.netdevgroup.com/online/courses/open-source/linux-unhatched" TargetMode="External"/><Relationship Id="rId181" Type="http://schemas.openxmlformats.org/officeDocument/2006/relationships/hyperlink" Target="https://www.coursera.org/learn/linux-and-sql?specialization=google-cybersecurity" TargetMode="External"/><Relationship Id="rId182" Type="http://schemas.openxmlformats.org/officeDocument/2006/relationships/hyperlink" Target="https://www.netdevgroup.com/online/courses/open-source/linux-unhatched" TargetMode="External"/><Relationship Id="rId183" Type="http://schemas.openxmlformats.org/officeDocument/2006/relationships/hyperlink" Target="https://www.coursera.org/learn/linux-and-sql?specialization=google-cybersecurity" TargetMode="External"/><Relationship Id="rId184" Type="http://schemas.openxmlformats.org/officeDocument/2006/relationships/hyperlink" Target="https://www.netdevgroup.com/online/courses/open-source/linux-unhatched" TargetMode="External"/><Relationship Id="rId185" Type="http://schemas.openxmlformats.org/officeDocument/2006/relationships/hyperlink" Target="https://www.coursera.org/learn/linux-and-sql?specialization=google-cybersecurity" TargetMode="External"/><Relationship Id="rId186" Type="http://schemas.openxmlformats.org/officeDocument/2006/relationships/hyperlink" Target="https://www.netdevgroup.com/online/courses/open-source/linux-unhatched" TargetMode="External"/><Relationship Id="rId187" Type="http://schemas.openxmlformats.org/officeDocument/2006/relationships/hyperlink" Target="https://www.coursera.org/learn/linux-and-sql?specialization=google-cybersecurity" TargetMode="External"/><Relationship Id="rId188" Type="http://schemas.openxmlformats.org/officeDocument/2006/relationships/hyperlink" Target="https://tryhackme.com/path/outline/cybersecurity101" TargetMode="External"/><Relationship Id="rId189" Type="http://schemas.openxmlformats.org/officeDocument/2006/relationships/hyperlink" Target="https://www.coursera.org/learn/linux-and-sql?specialization=google-cybersecurity" TargetMode="External"/><Relationship Id="rId190" Type="http://schemas.openxmlformats.org/officeDocument/2006/relationships/hyperlink" Target="https://tryhackme.com/path/outline/cybersecurity101" TargetMode="External"/><Relationship Id="rId191" Type="http://schemas.openxmlformats.org/officeDocument/2006/relationships/hyperlink" Target="https://www.coursera.org/learn/linux-and-sql?specialization=google-cybersecurity" TargetMode="External"/><Relationship Id="rId192" Type="http://schemas.openxmlformats.org/officeDocument/2006/relationships/hyperlink" Target="https://tryhackme.com/path/outline/cybersecurity101" TargetMode="External"/><Relationship Id="rId193" Type="http://schemas.openxmlformats.org/officeDocument/2006/relationships/hyperlink" Target="https://www.coursera.org/learn/linux-and-sql?specialization=google-cybersecurity" TargetMode="External"/><Relationship Id="rId194" Type="http://schemas.openxmlformats.org/officeDocument/2006/relationships/hyperlink" Target="https://tryhackme.com/path/outline/cybersecurity101" TargetMode="External"/><Relationship Id="rId195" Type="http://schemas.openxmlformats.org/officeDocument/2006/relationships/hyperlink" Target="https://www.coursera.org/learn/linux-and-sql?specialization=google-cybersecurity" TargetMode="External"/><Relationship Id="rId196" Type="http://schemas.openxmlformats.org/officeDocument/2006/relationships/hyperlink" Target="https://tryhackme.com/path/outline/cybersecurity101" TargetMode="External"/><Relationship Id="rId197" Type="http://schemas.openxmlformats.org/officeDocument/2006/relationships/hyperlink" Target="https://www.coursera.org/learn/linux-and-sql?specialization=google-cybersecurity" TargetMode="External"/><Relationship Id="rId198" Type="http://schemas.openxmlformats.org/officeDocument/2006/relationships/hyperlink" Target="https://tryhackme.com/path/outline/cybersecurity101" TargetMode="External"/><Relationship Id="rId199" Type="http://schemas.openxmlformats.org/officeDocument/2006/relationships/hyperlink" Target="https://www.coursera.org/learn/assets-threats-and-vulnerabilities?specialization=google-cybersecurity" TargetMode="External"/><Relationship Id="rId200" Type="http://schemas.openxmlformats.org/officeDocument/2006/relationships/hyperlink" Target="https://www.professormesser.com/security-plus/sy0-701/sy0-701-video/sy0-701-comptia-security-plus-course/" TargetMode="External"/><Relationship Id="rId201" Type="http://schemas.openxmlformats.org/officeDocument/2006/relationships/hyperlink" Target="https://www.coursera.org/learn/assets-threats-and-vulnerabilities?specialization=google-cybersecurity" TargetMode="External"/><Relationship Id="rId202" Type="http://schemas.openxmlformats.org/officeDocument/2006/relationships/hyperlink" Target="https://www.professormesser.com/security-plus/sy0-701/sy0-701-video/sy0-701-comptia-security-plus-course/" TargetMode="External"/><Relationship Id="rId203" Type="http://schemas.openxmlformats.org/officeDocument/2006/relationships/hyperlink" Target="https://www.coursera.org/learn/assets-threats-and-vulnerabilities?specialization=google-cybersecurity" TargetMode="External"/><Relationship Id="rId204" Type="http://schemas.openxmlformats.org/officeDocument/2006/relationships/hyperlink" Target="https://www.professormesser.com/security-plus/sy0-701/sy0-701-video/sy0-701-comptia-security-plus-course/" TargetMode="External"/><Relationship Id="rId205" Type="http://schemas.openxmlformats.org/officeDocument/2006/relationships/hyperlink" Target="https://www.coursera.org/learn/assets-threats-and-vulnerabilities?specialization=google-cybersecurity" TargetMode="External"/><Relationship Id="rId206" Type="http://schemas.openxmlformats.org/officeDocument/2006/relationships/hyperlink" Target="https://www.professormesser.com/security-plus/sy0-701/sy0-701-video/sy0-701-comptia-security-plus-course/" TargetMode="External"/><Relationship Id="rId207" Type="http://schemas.openxmlformats.org/officeDocument/2006/relationships/hyperlink" Target="https://www.coursera.org/learn/assets-threats-and-vulnerabilities?specialization=google-cybersecurity" TargetMode="External"/><Relationship Id="rId208" Type="http://schemas.openxmlformats.org/officeDocument/2006/relationships/hyperlink" Target="https://www.professormesser.com/security-plus/sy0-701/sy0-701-video/sy0-701-comptia-security-plus-course/" TargetMode="External"/><Relationship Id="rId209" Type="http://schemas.openxmlformats.org/officeDocument/2006/relationships/hyperlink" Target="https://www.coursera.org/learn/assets-threats-and-vulnerabilities?specialization=google-cybersecurity" TargetMode="External"/><Relationship Id="rId210" Type="http://schemas.openxmlformats.org/officeDocument/2006/relationships/hyperlink" Target="https://www.professormesser.com/security-plus/sy0-701/sy0-701-video/sy0-701-comptia-security-plus-course/" TargetMode="External"/><Relationship Id="rId211" Type="http://schemas.openxmlformats.org/officeDocument/2006/relationships/hyperlink" Target="https://www.coursera.org/learn/assets-threats-and-vulnerabilities?specialization=google-cybersecurity" TargetMode="External"/><Relationship Id="rId212" Type="http://schemas.openxmlformats.org/officeDocument/2006/relationships/hyperlink" Target="https://tryhackme.com/path/outline/cybersecurity101" TargetMode="External"/><Relationship Id="rId213" Type="http://schemas.openxmlformats.org/officeDocument/2006/relationships/hyperlink" Target="https://www.coursera.org/learn/assets-threats-and-vulnerabilities?specialization=google-cybersecurity" TargetMode="External"/><Relationship Id="rId214" Type="http://schemas.openxmlformats.org/officeDocument/2006/relationships/hyperlink" Target="https://tryhackme.com/path/outline/cybersecurity101" TargetMode="External"/><Relationship Id="rId215" Type="http://schemas.openxmlformats.org/officeDocument/2006/relationships/hyperlink" Target="https://www.coursera.org/learn/assets-threats-and-vulnerabilities?specialization=google-cybersecurity" TargetMode="External"/><Relationship Id="rId216" Type="http://schemas.openxmlformats.org/officeDocument/2006/relationships/hyperlink" Target="https://tryhackme.com/path/outline/cybersecurity101" TargetMode="External"/><Relationship Id="rId217" Type="http://schemas.openxmlformats.org/officeDocument/2006/relationships/hyperlink" Target="https://www.coursera.org/learn/assets-threats-and-vulnerabilities?specialization=google-cybersecurity" TargetMode="External"/><Relationship Id="rId218" Type="http://schemas.openxmlformats.org/officeDocument/2006/relationships/hyperlink" Target="https://tryhackme.com/path/outline/cybersecurity101" TargetMode="External"/><Relationship Id="rId219" Type="http://schemas.openxmlformats.org/officeDocument/2006/relationships/hyperlink" Target="https://www.coursera.org/learn/assets-threats-and-vulnerabilities?specialization=google-cybersecurity" TargetMode="External"/><Relationship Id="rId220" Type="http://schemas.openxmlformats.org/officeDocument/2006/relationships/hyperlink" Target="https://tryhackme.com/path/outline/cybersecurity101" TargetMode="External"/><Relationship Id="rId221" Type="http://schemas.openxmlformats.org/officeDocument/2006/relationships/hyperlink" Target="https://www.coursera.org/learn/assets-threats-and-vulnerabilities?specialization=google-cybersecurity" TargetMode="External"/><Relationship Id="rId222" Type="http://schemas.openxmlformats.org/officeDocument/2006/relationships/hyperlink" Target="https://tryhackme.com/path/outline/cybersecurity101" TargetMode="External"/><Relationship Id="rId223" Type="http://schemas.openxmlformats.org/officeDocument/2006/relationships/hyperlink" Target="https://www.coursera.org/learn/detection-and-response?specialization=google-cybersecurity" TargetMode="External"/><Relationship Id="rId224" Type="http://schemas.openxmlformats.org/officeDocument/2006/relationships/hyperlink" Target="https://www.cisa.gov/resources-tools/programs/Incident-Response-Training" TargetMode="External"/><Relationship Id="rId225" Type="http://schemas.openxmlformats.org/officeDocument/2006/relationships/hyperlink" Target="https://www.coursera.org/learn/detection-and-response?specialization=google-cybersecurity" TargetMode="External"/><Relationship Id="rId226" Type="http://schemas.openxmlformats.org/officeDocument/2006/relationships/hyperlink" Target="https://www.cisa.gov/resources-tools/programs/Incident-Response-Training" TargetMode="External"/><Relationship Id="rId227" Type="http://schemas.openxmlformats.org/officeDocument/2006/relationships/hyperlink" Target="https://www.coursera.org/learn/detection-and-response?specialization=google-cybersecurity" TargetMode="External"/><Relationship Id="rId228" Type="http://schemas.openxmlformats.org/officeDocument/2006/relationships/hyperlink" Target="https://www.cisa.gov/resources-tools/programs/Incident-Response-Training" TargetMode="External"/><Relationship Id="rId229" Type="http://schemas.openxmlformats.org/officeDocument/2006/relationships/hyperlink" Target="https://www.coursera.org/learn/detection-and-response?specialization=google-cybersecurity" TargetMode="External"/><Relationship Id="rId230" Type="http://schemas.openxmlformats.org/officeDocument/2006/relationships/hyperlink" Target="https://www.cisa.gov/resources-tools/programs/Incident-Response-Training" TargetMode="External"/><Relationship Id="rId231" Type="http://schemas.openxmlformats.org/officeDocument/2006/relationships/hyperlink" Target="https://www.coursera.org/learn/detection-and-response?specialization=google-cybersecurity" TargetMode="External"/><Relationship Id="rId232" Type="http://schemas.openxmlformats.org/officeDocument/2006/relationships/hyperlink" Target="https://www.cisa.gov/resources-tools/programs/Incident-Response-Training" TargetMode="External"/><Relationship Id="rId233" Type="http://schemas.openxmlformats.org/officeDocument/2006/relationships/hyperlink" Target="https://www.coursera.org/learn/detection-and-response?specialization=google-cybersecurity" TargetMode="External"/><Relationship Id="rId234" Type="http://schemas.openxmlformats.org/officeDocument/2006/relationships/hyperlink" Target="https://www.cisa.gov/resources-tools/programs/Incident-Response-Training" TargetMode="External"/><Relationship Id="rId235" Type="http://schemas.openxmlformats.org/officeDocument/2006/relationships/hyperlink" Target="https://www.coursera.org/learn/detection-and-response?specialization=google-cybersecurity" TargetMode="External"/><Relationship Id="rId236" Type="http://schemas.openxmlformats.org/officeDocument/2006/relationships/hyperlink" Target="https://tryhackme.com/module/defensive-security" TargetMode="External"/><Relationship Id="rId237" Type="http://schemas.openxmlformats.org/officeDocument/2006/relationships/hyperlink" Target="https://www.coursera.org/learn/detection-and-response?specialization=google-cybersecurity" TargetMode="External"/><Relationship Id="rId238" Type="http://schemas.openxmlformats.org/officeDocument/2006/relationships/hyperlink" Target="https://tryhackme.com/module/defensive-security" TargetMode="External"/><Relationship Id="rId239" Type="http://schemas.openxmlformats.org/officeDocument/2006/relationships/hyperlink" Target="https://www.coursera.org/learn/detection-and-response?specialization=google-cybersecurity" TargetMode="External"/><Relationship Id="rId240" Type="http://schemas.openxmlformats.org/officeDocument/2006/relationships/hyperlink" Target="https://tryhackme.com/module/defensive-security" TargetMode="External"/><Relationship Id="rId241" Type="http://schemas.openxmlformats.org/officeDocument/2006/relationships/hyperlink" Target="https://www.coursera.org/learn/detection-and-response?specialization=google-cybersecurity" TargetMode="External"/><Relationship Id="rId242" Type="http://schemas.openxmlformats.org/officeDocument/2006/relationships/hyperlink" Target="https://tryhackme.com/module/defensive-security" TargetMode="External"/><Relationship Id="rId243" Type="http://schemas.openxmlformats.org/officeDocument/2006/relationships/hyperlink" Target="https://www.coursera.org/learn/detection-and-response?specialization=google-cybersecurity" TargetMode="External"/><Relationship Id="rId244" Type="http://schemas.openxmlformats.org/officeDocument/2006/relationships/hyperlink" Target="https://tryhackme.com/module/defensive-security" TargetMode="External"/><Relationship Id="rId245" Type="http://schemas.openxmlformats.org/officeDocument/2006/relationships/hyperlink" Target="https://www.coursera.org/learn/detection-and-response?specialization=google-cybersecurity" TargetMode="External"/><Relationship Id="rId246" Type="http://schemas.openxmlformats.org/officeDocument/2006/relationships/hyperlink" Target="https://tryhackme.com/module/defensive-security" TargetMode="External"/><Relationship Id="rId247" Type="http://schemas.openxmlformats.org/officeDocument/2006/relationships/hyperlink" Target="https://www.coursera.org/learn/automate-cybersecurity-tasks-with-python?specialization=google-cybersecurity" TargetMode="External"/><Relationship Id="rId248" Type="http://schemas.openxmlformats.org/officeDocument/2006/relationships/hyperlink" Target="https://www.coursera.org/professional-certificates/google-cybersecurity" TargetMode="External"/><Relationship Id="rId249" Type="http://schemas.openxmlformats.org/officeDocument/2006/relationships/hyperlink" Target="https://www.coursera.org/learn/automate-cybersecurity-tasks-with-python?specialization=google-cybersecurity" TargetMode="External"/><Relationship Id="rId250" Type="http://schemas.openxmlformats.org/officeDocument/2006/relationships/hyperlink" Target="https://www.coursera.org/professional-certificates/google-cybersecurity" TargetMode="External"/><Relationship Id="rId251" Type="http://schemas.openxmlformats.org/officeDocument/2006/relationships/hyperlink" Target="https://www.coursera.org/learn/automate-cybersecurity-tasks-with-python?specialization=google-cybersecurity" TargetMode="External"/><Relationship Id="rId252" Type="http://schemas.openxmlformats.org/officeDocument/2006/relationships/hyperlink" Target="https://www.coursera.org/professional-certificates/google-cybersecurity" TargetMode="External"/><Relationship Id="rId253" Type="http://schemas.openxmlformats.org/officeDocument/2006/relationships/hyperlink" Target="https://www.coursera.org/learn/automate-cybersecurity-tasks-with-python?specialization=google-cybersecurity" TargetMode="External"/><Relationship Id="rId254" Type="http://schemas.openxmlformats.org/officeDocument/2006/relationships/hyperlink" Target="https://www.coursera.org/professional-certificates/google-cybersecurity" TargetMode="External"/><Relationship Id="rId255" Type="http://schemas.openxmlformats.org/officeDocument/2006/relationships/hyperlink" Target="https://www.coursera.org/learn/automate-cybersecurity-tasks-with-python?specialization=google-cybersecurity" TargetMode="External"/><Relationship Id="rId256" Type="http://schemas.openxmlformats.org/officeDocument/2006/relationships/hyperlink" Target="https://www.coursera.org/professional-certificates/google-cybersecurity" TargetMode="External"/><Relationship Id="rId257" Type="http://schemas.openxmlformats.org/officeDocument/2006/relationships/hyperlink" Target="https://www.coursera.org/learn/automate-cybersecurity-tasks-with-python?specialization=google-cybersecurity" TargetMode="External"/><Relationship Id="rId258" Type="http://schemas.openxmlformats.org/officeDocument/2006/relationships/hyperlink" Target="https://www.coursera.org/professional-certificates/google-cybersecurity" TargetMode="External"/><Relationship Id="rId259" Type="http://schemas.openxmlformats.org/officeDocument/2006/relationships/hyperlink" Target="https://www.coursera.org/learn/automate-cybersecurity-tasks-with-python?specialization=google-cybersecurity" TargetMode="External"/><Relationship Id="rId260" Type="http://schemas.openxmlformats.org/officeDocument/2006/relationships/hyperlink" Target="https://tryhackme.com/path/outline/cybersecurity101" TargetMode="External"/><Relationship Id="rId261" Type="http://schemas.openxmlformats.org/officeDocument/2006/relationships/hyperlink" Target="https://www.coursera.org/learn/automate-cybersecurity-tasks-with-python?specialization=google-cybersecurity" TargetMode="External"/><Relationship Id="rId262" Type="http://schemas.openxmlformats.org/officeDocument/2006/relationships/hyperlink" Target="https://tryhackme.com/path/outline/cybersecurity101" TargetMode="External"/><Relationship Id="rId263" Type="http://schemas.openxmlformats.org/officeDocument/2006/relationships/hyperlink" Target="https://www.coursera.org/learn/automate-cybersecurity-tasks-with-python?specialization=google-cybersecurity" TargetMode="External"/><Relationship Id="rId264" Type="http://schemas.openxmlformats.org/officeDocument/2006/relationships/hyperlink" Target="https://tryhackme.com/path/outline/cybersecurity101" TargetMode="External"/><Relationship Id="rId265" Type="http://schemas.openxmlformats.org/officeDocument/2006/relationships/hyperlink" Target="https://www.coursera.org/learn/automate-cybersecurity-tasks-with-python?specialization=google-cybersecurity" TargetMode="External"/><Relationship Id="rId266" Type="http://schemas.openxmlformats.org/officeDocument/2006/relationships/hyperlink" Target="https://tryhackme.com/path/outline/cybersecurity101" TargetMode="External"/><Relationship Id="rId267" Type="http://schemas.openxmlformats.org/officeDocument/2006/relationships/hyperlink" Target="https://www.coursera.org/learn/automate-cybersecurity-tasks-with-python?specialization=google-cybersecurity" TargetMode="External"/><Relationship Id="rId268" Type="http://schemas.openxmlformats.org/officeDocument/2006/relationships/hyperlink" Target="https://tryhackme.com/path/outline/cybersecurity101" TargetMode="External"/><Relationship Id="rId269" Type="http://schemas.openxmlformats.org/officeDocument/2006/relationships/hyperlink" Target="https://www.coursera.org/learn/automate-cybersecurity-tasks-with-python?specialization=google-cybersecurity" TargetMode="External"/><Relationship Id="rId270" Type="http://schemas.openxmlformats.org/officeDocument/2006/relationships/hyperlink" Target="https://tryhackme.com/path/outline/cybersecurity101" TargetMode="External"/><Relationship Id="rId271" Type="http://schemas.openxmlformats.org/officeDocument/2006/relationships/hyperlink" Target="https://www.coursera.org/learn/prepare-for-cybersecurity-jobs?specialization=google-cybersecurity" TargetMode="External"/><Relationship Id="rId272" Type="http://schemas.openxmlformats.org/officeDocument/2006/relationships/hyperlink" Target="https://www.coursera.org/professional-certificates/google-cybersecurity" TargetMode="External"/><Relationship Id="rId273" Type="http://schemas.openxmlformats.org/officeDocument/2006/relationships/hyperlink" Target="https://www.coursera.org/learn/prepare-for-cybersecurity-jobs?specialization=google-cybersecurity" TargetMode="External"/><Relationship Id="rId274" Type="http://schemas.openxmlformats.org/officeDocument/2006/relationships/hyperlink" Target="https://www.coursera.org/professional-certificates/google-cybersecurity" TargetMode="External"/><Relationship Id="rId275" Type="http://schemas.openxmlformats.org/officeDocument/2006/relationships/hyperlink" Target="https://www.coursera.org/learn/prepare-for-cybersecurity-jobs?specialization=google-cybersecurity" TargetMode="External"/><Relationship Id="rId276" Type="http://schemas.openxmlformats.org/officeDocument/2006/relationships/hyperlink" Target="https://www.coursera.org/professional-certificates/google-cybersecurity" TargetMode="External"/><Relationship Id="rId277" Type="http://schemas.openxmlformats.org/officeDocument/2006/relationships/hyperlink" Target="https://www.coursera.org/learn/prepare-for-cybersecurity-jobs?specialization=google-cybersecurity" TargetMode="External"/><Relationship Id="rId278" Type="http://schemas.openxmlformats.org/officeDocument/2006/relationships/hyperlink" Target="https://www.coursera.org/professional-certificates/google-cybersecurity" TargetMode="External"/><Relationship Id="rId279" Type="http://schemas.openxmlformats.org/officeDocument/2006/relationships/hyperlink" Target="https://www.coursera.org/learn/prepare-for-cybersecurity-jobs?specialization=google-cybersecurity" TargetMode="External"/><Relationship Id="rId280" Type="http://schemas.openxmlformats.org/officeDocument/2006/relationships/hyperlink" Target="https://www.coursera.org/professional-certificates/google-cybersecurity" TargetMode="External"/><Relationship Id="rId281" Type="http://schemas.openxmlformats.org/officeDocument/2006/relationships/hyperlink" Target="https://www.coursera.org/learn/prepare-for-cybersecurity-jobs?specialization=google-cybersecurity" TargetMode="External"/><Relationship Id="rId282" Type="http://schemas.openxmlformats.org/officeDocument/2006/relationships/hyperlink" Target="https://www.coursera.org/professional-certificates/google-cybersecurity" TargetMode="External"/><Relationship Id="rId283" Type="http://schemas.openxmlformats.org/officeDocument/2006/relationships/hyperlink" Target="https://www.coursera.org/learn/accelerate-your-job-search-with-ai?specialization=google-cybersecurity" TargetMode="External"/><Relationship Id="rId284" Type="http://schemas.openxmlformats.org/officeDocument/2006/relationships/hyperlink" Target="https://www.coursera.org/learn/prepare-for-cybersecurity-jobs?specialization=google-cybersecurity" TargetMode="External"/><Relationship Id="rId285" Type="http://schemas.openxmlformats.org/officeDocument/2006/relationships/hyperlink" Target="https://www.coursera.org/learn/accelerate-your-job-search-with-ai?specialization=google-cybersecurity" TargetMode="External"/><Relationship Id="rId286" Type="http://schemas.openxmlformats.org/officeDocument/2006/relationships/hyperlink" Target="https://www.coursera.org/learn/prepare-for-cybersecurity-jobs?specialization=google-cybersecurity" TargetMode="External"/><Relationship Id="rId287" Type="http://schemas.openxmlformats.org/officeDocument/2006/relationships/hyperlink" Target="https://www.coursera.org/learn/accelerate-your-job-search-with-ai?specialization=google-cybersecurity" TargetMode="External"/><Relationship Id="rId288" Type="http://schemas.openxmlformats.org/officeDocument/2006/relationships/hyperlink" Target="https://www.coursera.org/learn/prepare-for-cybersecurity-jobs?specialization=google-cybersecurity" TargetMode="External"/><Relationship Id="rId289" Type="http://schemas.openxmlformats.org/officeDocument/2006/relationships/hyperlink" Target="https://www.coursera.org/learn/accelerate-your-job-search-with-ai?specialization=google-cybersecurity" TargetMode="External"/><Relationship Id="rId290" Type="http://schemas.openxmlformats.org/officeDocument/2006/relationships/hyperlink" Target="https://www.coursera.org/learn/prepare-for-cybersecurity-jobs?specialization=google-cybersecurity" TargetMode="External"/><Relationship Id="rId291" Type="http://schemas.openxmlformats.org/officeDocument/2006/relationships/hyperlink" Target="https://www.coursera.org/learn/accelerate-your-job-search-with-ai?specialization=google-cybersecurity" TargetMode="External"/><Relationship Id="rId292" Type="http://schemas.openxmlformats.org/officeDocument/2006/relationships/hyperlink" Target="https://www.coursera.org/learn/prepare-for-cybersecurity-jobs?specialization=google-cybersecurity" TargetMode="External"/><Relationship Id="rId293" Type="http://schemas.openxmlformats.org/officeDocument/2006/relationships/hyperlink" Target="https://www.coursera.org/learn/accelerate-your-job-search-with-ai?specialization=google-cybersecurity" TargetMode="External"/><Relationship Id="rId294" Type="http://schemas.openxmlformats.org/officeDocument/2006/relationships/hyperlink" Target="https://www.coursera.org/learn/prepare-for-cybersecurity-jobs?specialization=google-cybersecurity" TargetMode="External"/><Relationship Id="rId295" Type="http://schemas.openxmlformats.org/officeDocument/2006/relationships/hyperlink" Target="https://www.professormesser.com/security-plus/sy0-701/sy0-701-video/sy0-701-comptia-security-plus-course/" TargetMode="External"/><Relationship Id="rId296" Type="http://schemas.openxmlformats.org/officeDocument/2006/relationships/hyperlink" Target="https://www.coursera.org/professional-certificates/google-cybersecurity" TargetMode="External"/><Relationship Id="rId297" Type="http://schemas.openxmlformats.org/officeDocument/2006/relationships/hyperlink" Target="https://www.professormesser.com/security-plus/sy0-701/sy0-701-video/sy0-701-comptia-security-plus-course/" TargetMode="External"/><Relationship Id="rId298" Type="http://schemas.openxmlformats.org/officeDocument/2006/relationships/hyperlink" Target="https://www.coursera.org/professional-certificates/google-cybersecurity" TargetMode="External"/><Relationship Id="rId299" Type="http://schemas.openxmlformats.org/officeDocument/2006/relationships/hyperlink" Target="https://www.professormesser.com/security-plus/sy0-701/sy0-701-video/sy0-701-comptia-security-plus-course/" TargetMode="External"/><Relationship Id="rId300" Type="http://schemas.openxmlformats.org/officeDocument/2006/relationships/hyperlink" Target="https://www.coursera.org/professional-certificates/google-cybersecurity" TargetMode="External"/><Relationship Id="rId301" Type="http://schemas.openxmlformats.org/officeDocument/2006/relationships/hyperlink" Target="https://www.professormesser.com/security-plus/sy0-701/sy0-701-video/sy0-701-comptia-security-plus-course/" TargetMode="External"/><Relationship Id="rId302" Type="http://schemas.openxmlformats.org/officeDocument/2006/relationships/hyperlink" Target="https://www.coursera.org/professional-certificates/google-cybersecurity" TargetMode="External"/><Relationship Id="rId303" Type="http://schemas.openxmlformats.org/officeDocument/2006/relationships/hyperlink" Target="https://www.professormesser.com/security-plus/sy0-701/sy0-701-video/sy0-701-comptia-security-plus-course/" TargetMode="External"/><Relationship Id="rId304" Type="http://schemas.openxmlformats.org/officeDocument/2006/relationships/hyperlink" Target="https://www.coursera.org/professional-certificates/google-cybersecurity" TargetMode="External"/><Relationship Id="rId305" Type="http://schemas.openxmlformats.org/officeDocument/2006/relationships/hyperlink" Target="https://www.professormesser.com/security-plus/sy0-701/sy0-701-video/sy0-701-comptia-security-plus-course/" TargetMode="External"/><Relationship Id="rId306" Type="http://schemas.openxmlformats.org/officeDocument/2006/relationships/hyperlink" Target="https://www.coursera.org/professional-certificates/google-cybersecurity" TargetMode="External"/><Relationship Id="rId307" Type="http://schemas.openxmlformats.org/officeDocument/2006/relationships/hyperlink" Target="https://tryhackme.com/path/outline/cybersecurity101" TargetMode="External"/><Relationship Id="rId308" Type="http://schemas.openxmlformats.org/officeDocument/2006/relationships/hyperlink" Target="https://tryhackme.com/path/outline/cybersecurity101" TargetMode="External"/><Relationship Id="rId309" Type="http://schemas.openxmlformats.org/officeDocument/2006/relationships/hyperlink" Target="https://tryhackme.com/path/outline/cybersecurity101" TargetMode="External"/><Relationship Id="rId310" Type="http://schemas.openxmlformats.org/officeDocument/2006/relationships/hyperlink" Target="https://tryhackme.com/path/outline/cybersecurity101" TargetMode="External"/><Relationship Id="rId311" Type="http://schemas.openxmlformats.org/officeDocument/2006/relationships/hyperlink" Target="https://tryhackme.com/path/outline/cybersecurity101" TargetMode="External"/><Relationship Id="rId312" Type="http://schemas.openxmlformats.org/officeDocument/2006/relationships/hyperlink" Target="https://tryhackme.com/path/outline/cybersecurity101" TargetMode="External"/><Relationship Id="rId313" Type="http://schemas.openxmlformats.org/officeDocument/2006/relationships/hyperlink" Target="https://www.cisa.gov/resources-tools/programs/Incident-Response-Training" TargetMode="External"/><Relationship Id="rId314" Type="http://schemas.openxmlformats.org/officeDocument/2006/relationships/hyperlink" Target="https://www.cisa.gov/resources-tools/resources/cisa-learning" TargetMode="External"/><Relationship Id="rId315" Type="http://schemas.openxmlformats.org/officeDocument/2006/relationships/hyperlink" Target="https://www.cisa.gov/resources-tools/programs/Incident-Response-Training" TargetMode="External"/><Relationship Id="rId316" Type="http://schemas.openxmlformats.org/officeDocument/2006/relationships/hyperlink" Target="https://www.cisa.gov/resources-tools/resources/cisa-learning" TargetMode="External"/><Relationship Id="rId317" Type="http://schemas.openxmlformats.org/officeDocument/2006/relationships/hyperlink" Target="https://www.cisa.gov/resources-tools/programs/Incident-Response-Training" TargetMode="External"/><Relationship Id="rId318" Type="http://schemas.openxmlformats.org/officeDocument/2006/relationships/hyperlink" Target="https://www.cisa.gov/resources-tools/resources/cisa-learning" TargetMode="External"/><Relationship Id="rId319" Type="http://schemas.openxmlformats.org/officeDocument/2006/relationships/hyperlink" Target="https://www.cisa.gov/resources-tools/programs/Incident-Response-Training" TargetMode="External"/><Relationship Id="rId320" Type="http://schemas.openxmlformats.org/officeDocument/2006/relationships/hyperlink" Target="https://www.cisa.gov/resources-tools/resources/cisa-learning" TargetMode="External"/><Relationship Id="rId321" Type="http://schemas.openxmlformats.org/officeDocument/2006/relationships/hyperlink" Target="https://www.cisa.gov/resources-tools/programs/Incident-Response-Training" TargetMode="External"/><Relationship Id="rId322" Type="http://schemas.openxmlformats.org/officeDocument/2006/relationships/hyperlink" Target="https://www.cisa.gov/resources-tools/resources/cisa-learning" TargetMode="External"/><Relationship Id="rId323" Type="http://schemas.openxmlformats.org/officeDocument/2006/relationships/hyperlink" Target="https://www.cisa.gov/resources-tools/programs/Incident-Response-Training" TargetMode="External"/><Relationship Id="rId324" Type="http://schemas.openxmlformats.org/officeDocument/2006/relationships/hyperlink" Target="https://www.cisa.gov/resources-tools/resources/cisa-learning" TargetMode="External"/><Relationship Id="rId325" Type="http://schemas.openxmlformats.org/officeDocument/2006/relationships/hyperlink" Target="https://www.cisa.gov/critical-infrastructure-training" TargetMode="External"/><Relationship Id="rId326" Type="http://schemas.openxmlformats.org/officeDocument/2006/relationships/hyperlink" Target="https://www.cisa.gov/resources-tools/resources/cyber-security-evaluation-tool-cset-fact-sheet-public-safety" TargetMode="External"/><Relationship Id="rId327" Type="http://schemas.openxmlformats.org/officeDocument/2006/relationships/hyperlink" Target="https://www.cisa.gov/critical-infrastructure-training" TargetMode="External"/><Relationship Id="rId328" Type="http://schemas.openxmlformats.org/officeDocument/2006/relationships/hyperlink" Target="https://www.cisa.gov/resources-tools/resources/cyber-security-evaluation-tool-cset-fact-sheet-public-safety" TargetMode="External"/><Relationship Id="rId329" Type="http://schemas.openxmlformats.org/officeDocument/2006/relationships/hyperlink" Target="https://www.cisa.gov/critical-infrastructure-training" TargetMode="External"/><Relationship Id="rId330" Type="http://schemas.openxmlformats.org/officeDocument/2006/relationships/hyperlink" Target="https://www.cisa.gov/resources-tools/resources/cyber-security-evaluation-tool-cset-fact-sheet-public-safety" TargetMode="External"/><Relationship Id="rId331" Type="http://schemas.openxmlformats.org/officeDocument/2006/relationships/hyperlink" Target="https://www.cisa.gov/critical-infrastructure-training" TargetMode="External"/><Relationship Id="rId332" Type="http://schemas.openxmlformats.org/officeDocument/2006/relationships/hyperlink" Target="https://www.cisa.gov/resources-tools/resources/cyber-security-evaluation-tool-cset-fact-sheet-public-safety" TargetMode="External"/><Relationship Id="rId333" Type="http://schemas.openxmlformats.org/officeDocument/2006/relationships/hyperlink" Target="https://www.cisa.gov/critical-infrastructure-training" TargetMode="External"/><Relationship Id="rId334" Type="http://schemas.openxmlformats.org/officeDocument/2006/relationships/hyperlink" Target="https://www.cisa.gov/resources-tools/resources/cyber-security-evaluation-tool-cset-fact-sheet-public-safety" TargetMode="External"/><Relationship Id="rId335" Type="http://schemas.openxmlformats.org/officeDocument/2006/relationships/hyperlink" Target="https://www.cisa.gov/critical-infrastructure-training" TargetMode="External"/><Relationship Id="rId336" Type="http://schemas.openxmlformats.org/officeDocument/2006/relationships/hyperlink" Target="https://www.cisa.gov/resources-tools/resources/cyber-security-evaluation-tool-cset-fact-sheet-public-safety" TargetMode="External"/><Relationship Id="rId337" Type="http://schemas.openxmlformats.org/officeDocument/2006/relationships/hyperlink" Target="https://tryhackme.com/module/defensive-security" TargetMode="External"/><Relationship Id="rId338" Type="http://schemas.openxmlformats.org/officeDocument/2006/relationships/hyperlink" Target="https://www.cisa.gov/resources-tools/programs/Incident-Response-Training" TargetMode="External"/><Relationship Id="rId339" Type="http://schemas.openxmlformats.org/officeDocument/2006/relationships/hyperlink" Target="https://tryhackme.com/module/defensive-security" TargetMode="External"/><Relationship Id="rId340" Type="http://schemas.openxmlformats.org/officeDocument/2006/relationships/hyperlink" Target="https://www.cisa.gov/resources-tools/programs/Incident-Response-Training" TargetMode="External"/><Relationship Id="rId341" Type="http://schemas.openxmlformats.org/officeDocument/2006/relationships/hyperlink" Target="https://tryhackme.com/module/defensive-security" TargetMode="External"/><Relationship Id="rId342" Type="http://schemas.openxmlformats.org/officeDocument/2006/relationships/hyperlink" Target="https://www.cisa.gov/resources-tools/programs/Incident-Response-Training" TargetMode="External"/><Relationship Id="rId343" Type="http://schemas.openxmlformats.org/officeDocument/2006/relationships/hyperlink" Target="https://tryhackme.com/module/defensive-security" TargetMode="External"/><Relationship Id="rId344" Type="http://schemas.openxmlformats.org/officeDocument/2006/relationships/hyperlink" Target="https://www.cisa.gov/resources-tools/programs/Incident-Response-Training" TargetMode="External"/><Relationship Id="rId345" Type="http://schemas.openxmlformats.org/officeDocument/2006/relationships/hyperlink" Target="https://tryhackme.com/module/defensive-security" TargetMode="External"/><Relationship Id="rId346" Type="http://schemas.openxmlformats.org/officeDocument/2006/relationships/hyperlink" Target="https://www.cisa.gov/resources-tools/programs/Incident-Response-Training" TargetMode="External"/><Relationship Id="rId347" Type="http://schemas.openxmlformats.org/officeDocument/2006/relationships/hyperlink" Target="https://tryhackme.com/module/defensive-security" TargetMode="External"/><Relationship Id="rId348" Type="http://schemas.openxmlformats.org/officeDocument/2006/relationships/hyperlink" Target="https://www.cisa.gov/resources-tools/programs/Incident-Response-Training" TargetMode="External"/><Relationship Id="rId349" Type="http://schemas.openxmlformats.org/officeDocument/2006/relationships/hyperlink" Target="https://www.coursera.org/learn/prepare-for-cybersecurity-jobs?specialization=google-cybersecurity" TargetMode="External"/><Relationship Id="rId350" Type="http://schemas.openxmlformats.org/officeDocument/2006/relationships/hyperlink" Target="https://www.coursera.org/learn/prepare-for-cybersecurity-jobs?specialization=google-cybersecurity" TargetMode="External"/><Relationship Id="rId351" Type="http://schemas.openxmlformats.org/officeDocument/2006/relationships/hyperlink" Target="https://www.coursera.org/learn/prepare-for-cybersecurity-jobs?specialization=google-cybersecurity" TargetMode="External"/><Relationship Id="rId352" Type="http://schemas.openxmlformats.org/officeDocument/2006/relationships/hyperlink" Target="https://www.coursera.org/learn/prepare-for-cybersecurity-jobs?specialization=google-cybersecurity" TargetMode="External"/><Relationship Id="rId353" Type="http://schemas.openxmlformats.org/officeDocument/2006/relationships/hyperlink" Target="https://www.coursera.org/learn/prepare-for-cybersecurity-jobs?specialization=google-cybersecurity" TargetMode="External"/><Relationship Id="rId354" Type="http://schemas.openxmlformats.org/officeDocument/2006/relationships/hyperlink" Target="https://www.coursera.org/learn/prepare-for-cybersecurity-jobs?specialization=google-cybersecurity" TargetMode="External"/><Relationship Id="rId35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https://www.professormesser.com/free-a-plus-training/220-1201/220-1201-video/220-1201-training-course/" TargetMode="External"/><Relationship Id="rId2" Type="http://schemas.openxmlformats.org/officeDocument/2006/relationships/hyperlink" Target="https://www.professormesser.com/free-a-plus-training/220-1202/220-1202-video/220-1202-training-course/" TargetMode="External"/><Relationship Id="rId3" Type="http://schemas.openxmlformats.org/officeDocument/2006/relationships/hyperlink" Target="https://www.netdevgroup.com/online/courses/open-source/linux-unhatched" TargetMode="External"/><Relationship Id="rId4" Type="http://schemas.openxmlformats.org/officeDocument/2006/relationships/hyperlink" Target="https://www.virtualbox.org/wiki/Downloads" TargetMode="External"/><Relationship Id="rId5" Type="http://schemas.openxmlformats.org/officeDocument/2006/relationships/hyperlink" Target="https://ubuntu.com/download/desktop" TargetMode="External"/><Relationship Id="rId6" Type="http://schemas.openxmlformats.org/officeDocument/2006/relationships/hyperlink" Target="https://www.cisco.com/site/us/en/learn/training-certifications/training/courses/ccst-networking.html" TargetMode="External"/><Relationship Id="rId7" Type="http://schemas.openxmlformats.org/officeDocument/2006/relationships/hyperlink" Target="https://www.professormesser.com/network-plus/n10-009/n10-009-video/n10-009-training-course/" TargetMode="External"/><Relationship Id="rId8" Type="http://schemas.openxmlformats.org/officeDocument/2006/relationships/hyperlink" Target="https://www.wireshark.org/download.html" TargetMode="External"/><Relationship Id="rId9" Type="http://schemas.openxmlformats.org/officeDocument/2006/relationships/hyperlink" Target="https://contenthub.netacad.com/courses/cyberops/_common/5.3.7-lab---introduction-to-wireshark.pdf" TargetMode="External"/><Relationship Id="rId10" Type="http://schemas.openxmlformats.org/officeDocument/2006/relationships/hyperlink" Target="https://tryhackme.com/path/outline/presecurity" TargetMode="External"/><Relationship Id="rId11" Type="http://schemas.openxmlformats.org/officeDocument/2006/relationships/hyperlink" Target="https://www.coursera.org/professional-certificates/google-cybersecurity" TargetMode="External"/><Relationship Id="rId12" Type="http://schemas.openxmlformats.org/officeDocument/2006/relationships/hyperlink" Target="https://www.coursera.org/learn/foundations-of-cybersecurity?specialization=google-cybersecurity" TargetMode="External"/><Relationship Id="rId13" Type="http://schemas.openxmlformats.org/officeDocument/2006/relationships/hyperlink" Target="https://www.coursera.org/learn/manage-security-risks?specialization=google-cybersecurity" TargetMode="External"/><Relationship Id="rId14" Type="http://schemas.openxmlformats.org/officeDocument/2006/relationships/hyperlink" Target="https://www.coursera.org/learn/networks-and-network-security?specialization=google-cybersecurity" TargetMode="External"/><Relationship Id="rId15" Type="http://schemas.openxmlformats.org/officeDocument/2006/relationships/hyperlink" Target="https://www.coursera.org/learn/linux-and-sql?specialization=google-cybersecurity" TargetMode="External"/><Relationship Id="rId16" Type="http://schemas.openxmlformats.org/officeDocument/2006/relationships/hyperlink" Target="https://www.coursera.org/learn/assets-threats-and-vulnerabilities?specialization=google-cybersecurity" TargetMode="External"/><Relationship Id="rId17" Type="http://schemas.openxmlformats.org/officeDocument/2006/relationships/hyperlink" Target="https://www.coursera.org/learn/detection-and-response?specialization=google-cybersecurity" TargetMode="External"/><Relationship Id="rId18" Type="http://schemas.openxmlformats.org/officeDocument/2006/relationships/hyperlink" Target="https://www.coursera.org/learn/automate-cybersecurity-tasks-with-python?specialization=google-cybersecurity" TargetMode="External"/><Relationship Id="rId19" Type="http://schemas.openxmlformats.org/officeDocument/2006/relationships/hyperlink" Target="https://www.coursera.org/learn/prepare-for-cybersecurity-jobs?specialization=google-cybersecurity" TargetMode="External"/><Relationship Id="rId20" Type="http://schemas.openxmlformats.org/officeDocument/2006/relationships/hyperlink" Target="https://www.coursera.org/learn/accelerate-your-job-search-with-ai?specialization=google-cybersecurity" TargetMode="External"/><Relationship Id="rId21" Type="http://schemas.openxmlformats.org/officeDocument/2006/relationships/hyperlink" Target="https://www.professormesser.com/security-plus/sy0-701/sy0-701-video/sy0-701-comptia-security-plus-course/" TargetMode="External"/><Relationship Id="rId22" Type="http://schemas.openxmlformats.org/officeDocument/2006/relationships/hyperlink" Target="https://tryhackme.com/path/outline/cybersecurity101" TargetMode="External"/><Relationship Id="rId23" Type="http://schemas.openxmlformats.org/officeDocument/2006/relationships/hyperlink" Target="https://www.cisa.gov/resources-tools/programs/Incident-Response-Training" TargetMode="External"/><Relationship Id="rId24" Type="http://schemas.openxmlformats.org/officeDocument/2006/relationships/hyperlink" Target="https://www.cisa.gov/critical-infrastructure-training" TargetMode="External"/><Relationship Id="rId25" Type="http://schemas.openxmlformats.org/officeDocument/2006/relationships/hyperlink" Target="https://www.cisa.gov/resources-tools/resources/cisa-learning" TargetMode="External"/><Relationship Id="rId26" Type="http://schemas.openxmlformats.org/officeDocument/2006/relationships/hyperlink" Target="https://www.cisa.gov/resources-tools/resources/cyber-security-evaluation-tool-cset-fact-sheet-public-safety" TargetMode="External"/><Relationship Id="rId27" Type="http://schemas.openxmlformats.org/officeDocument/2006/relationships/hyperlink" Target="https://tryhackme.com/module/defensive-security" TargetMode="External"/><Relationship Id="rId28"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hyperlink" Target="https://example.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8"/>
    <col collapsed="false" customWidth="true" hidden="false" outlineLevel="0" max="7" min="7" style="0" width="40"/>
    <col collapsed="false" customWidth="true" hidden="false" outlineLevel="0" max="8" min="8" style="0" width="16"/>
  </cols>
  <sheetData>
    <row r="1" customFormat="false" ht="24" hidden="false" customHeight="true" outlineLevel="0" collapsed="false">
      <c r="A1" s="1" t="s">
        <v>0</v>
      </c>
      <c r="B1" s="1"/>
      <c r="C1" s="1"/>
      <c r="D1" s="1"/>
      <c r="E1" s="1"/>
      <c r="F1" s="1"/>
      <c r="G1" s="1"/>
      <c r="H1" s="1"/>
    </row>
    <row r="2" customFormat="false" ht="31.5" hidden="false" customHeight="true" outlineLevel="0" collapsed="false">
      <c r="A2" s="2" t="s">
        <v>1</v>
      </c>
      <c r="B2" s="2"/>
      <c r="C2" s="2"/>
      <c r="D2" s="2"/>
      <c r="E2" s="2"/>
      <c r="F2" s="2"/>
      <c r="G2" s="2"/>
      <c r="H2" s="2"/>
    </row>
    <row r="4" customFormat="false" ht="21.75" hidden="false" customHeight="true" outlineLevel="0" collapsed="false">
      <c r="A4" s="3" t="s">
        <v>2</v>
      </c>
      <c r="B4" s="3"/>
      <c r="C4" s="3"/>
      <c r="D4" s="3"/>
      <c r="F4" s="3" t="s">
        <v>3</v>
      </c>
      <c r="G4" s="3"/>
      <c r="H4" s="3"/>
    </row>
    <row r="5" customFormat="false" ht="15" hidden="false" customHeight="false" outlineLevel="0" collapsed="false">
      <c r="A5" s="4" t="s">
        <v>4</v>
      </c>
      <c r="B5" s="5" t="n">
        <v>2.5</v>
      </c>
      <c r="F5" s="6" t="s">
        <v>5</v>
      </c>
      <c r="G5" s="7" t="n">
        <f aca="false">SUM('Workload Model'!E3:E16)</f>
        <v>376.1</v>
      </c>
      <c r="H5" s="4"/>
    </row>
    <row r="6" customFormat="false" ht="15" hidden="false" customHeight="false" outlineLevel="0" collapsed="false">
      <c r="A6" s="4" t="s">
        <v>6</v>
      </c>
      <c r="B6" s="8" t="n">
        <v>5</v>
      </c>
      <c r="F6" s="6" t="s">
        <v>7</v>
      </c>
      <c r="G6" s="7" t="n">
        <f aca="false">ROUNDUP(G5/$B$9,0)</f>
        <v>31</v>
      </c>
      <c r="H6" s="4"/>
    </row>
    <row r="7" customFormat="false" ht="15" hidden="false" customHeight="false" outlineLevel="0" collapsed="false">
      <c r="A7" s="4" t="s">
        <v>8</v>
      </c>
      <c r="B7" s="8" t="n">
        <v>1</v>
      </c>
      <c r="F7" s="6" t="s">
        <v>9</v>
      </c>
      <c r="G7" s="9" t="n">
        <v>1</v>
      </c>
      <c r="H7" s="4"/>
    </row>
    <row r="8" customFormat="false" ht="23.85" hidden="false" customHeight="false" outlineLevel="0" collapsed="false">
      <c r="A8" s="4" t="s">
        <v>10</v>
      </c>
      <c r="B8" s="8" t="n">
        <v>1</v>
      </c>
      <c r="F8" s="6" t="s">
        <v>11</v>
      </c>
      <c r="G8" s="7" t="n">
        <f aca="false">G6+G7</f>
        <v>32</v>
      </c>
      <c r="H8" s="4"/>
    </row>
    <row r="9" customFormat="false" ht="15" hidden="false" customHeight="false" outlineLevel="0" collapsed="false">
      <c r="A9" s="4" t="s">
        <v>12</v>
      </c>
      <c r="B9" s="10" t="n">
        <f aca="false">B5*B6</f>
        <v>12.5</v>
      </c>
      <c r="F9" s="6" t="s">
        <v>13</v>
      </c>
      <c r="G9" s="7" t="n">
        <f aca="false">ROUND(G8/4.345,1)</f>
        <v>7.4</v>
      </c>
      <c r="H9" s="4"/>
    </row>
    <row r="10" customFormat="false" ht="15" hidden="false" customHeight="true" outlineLevel="0" collapsed="false">
      <c r="A10" s="4" t="s">
        <v>14</v>
      </c>
      <c r="B10" s="10" t="n">
        <f aca="false">B5*(B6+B7)</f>
        <v>15</v>
      </c>
      <c r="F10" s="11" t="s">
        <v>15</v>
      </c>
      <c r="G10" s="12" t="s">
        <v>16</v>
      </c>
      <c r="H10" s="12"/>
    </row>
    <row r="11" customFormat="false" ht="28.35" hidden="false" customHeight="false" outlineLevel="0" collapsed="false">
      <c r="F11" s="13" t="s">
        <v>17</v>
      </c>
      <c r="G11" s="7" t="s">
        <v>18</v>
      </c>
    </row>
    <row r="12" customFormat="false" ht="28.35" hidden="false" customHeight="false" outlineLevel="0" collapsed="false">
      <c r="F12" s="13" t="s">
        <v>19</v>
      </c>
      <c r="G12" s="7" t="s">
        <v>20</v>
      </c>
    </row>
    <row r="13" customFormat="false" ht="15" hidden="false" customHeight="true" outlineLevel="0" collapsed="false">
      <c r="A13" s="3" t="s">
        <v>21</v>
      </c>
      <c r="B13" s="3"/>
      <c r="C13" s="3"/>
      <c r="D13" s="3"/>
      <c r="E13" s="3"/>
      <c r="F13" s="3" t="s">
        <v>22</v>
      </c>
      <c r="G13" s="3"/>
      <c r="H13" s="3"/>
    </row>
    <row r="14" customFormat="false" ht="15" hidden="false" customHeight="true" outlineLevel="0" collapsed="false">
      <c r="A14" s="14" t="s">
        <v>23</v>
      </c>
      <c r="B14" s="14" t="s">
        <v>24</v>
      </c>
      <c r="C14" s="14" t="s">
        <v>25</v>
      </c>
      <c r="D14" s="14" t="s">
        <v>26</v>
      </c>
      <c r="E14" s="14" t="s">
        <v>27</v>
      </c>
      <c r="F14" s="10" t="s">
        <v>28</v>
      </c>
      <c r="G14" s="15" t="s">
        <v>29</v>
      </c>
      <c r="H14" s="15"/>
    </row>
    <row r="15" customFormat="false" ht="15" hidden="false" customHeight="true" outlineLevel="0" collapsed="false">
      <c r="A15" s="16" t="s">
        <v>30</v>
      </c>
      <c r="B15" s="10" t="n">
        <v>5</v>
      </c>
      <c r="C15" s="10" t="n">
        <v>1</v>
      </c>
      <c r="D15" s="10" t="n">
        <v>5</v>
      </c>
      <c r="E15" s="15" t="s">
        <v>31</v>
      </c>
      <c r="F15" s="10" t="s">
        <v>32</v>
      </c>
      <c r="G15" s="15" t="s">
        <v>33</v>
      </c>
      <c r="H15" s="15"/>
    </row>
    <row r="16" customFormat="false" ht="15" hidden="false" customHeight="true" outlineLevel="0" collapsed="false">
      <c r="A16" s="17" t="s">
        <v>34</v>
      </c>
      <c r="B16" s="10" t="n">
        <v>7</v>
      </c>
      <c r="C16" s="10" t="n">
        <v>6</v>
      </c>
      <c r="D16" s="10" t="n">
        <v>12</v>
      </c>
      <c r="E16" s="15" t="s">
        <v>35</v>
      </c>
      <c r="F16" s="10" t="s">
        <v>36</v>
      </c>
      <c r="G16" s="15" t="s">
        <v>37</v>
      </c>
      <c r="H16" s="15"/>
    </row>
    <row r="17" customFormat="false" ht="23.85" hidden="false" customHeight="true" outlineLevel="0" collapsed="false">
      <c r="A17" s="18" t="s">
        <v>38</v>
      </c>
      <c r="B17" s="10" t="n">
        <v>15</v>
      </c>
      <c r="C17" s="10" t="n">
        <v>13</v>
      </c>
      <c r="D17" s="10" t="n">
        <v>27</v>
      </c>
      <c r="E17" s="15" t="s">
        <v>39</v>
      </c>
      <c r="F17" s="10" t="s">
        <v>40</v>
      </c>
      <c r="G17" s="15" t="s">
        <v>41</v>
      </c>
      <c r="H17" s="15"/>
    </row>
    <row r="18" customFormat="false" ht="15" hidden="false" customHeight="true" outlineLevel="0" collapsed="false">
      <c r="A18" s="19" t="s">
        <v>42</v>
      </c>
      <c r="B18" s="10" t="n">
        <v>4</v>
      </c>
      <c r="C18" s="10" t="n">
        <v>28</v>
      </c>
      <c r="D18" s="10" t="n">
        <v>31</v>
      </c>
      <c r="E18" s="15" t="s">
        <v>43</v>
      </c>
      <c r="F18" s="10" t="s">
        <v>44</v>
      </c>
      <c r="G18" s="15" t="s">
        <v>45</v>
      </c>
      <c r="H18" s="15"/>
    </row>
    <row r="19" customFormat="false" ht="15" hidden="false" customHeight="true" outlineLevel="0" collapsed="false">
      <c r="A19" s="20" t="s">
        <v>46</v>
      </c>
      <c r="B19" s="10" t="n">
        <v>1</v>
      </c>
      <c r="C19" s="10" t="n">
        <v>32</v>
      </c>
      <c r="D19" s="10" t="n">
        <v>32</v>
      </c>
      <c r="E19" s="15" t="s">
        <v>47</v>
      </c>
      <c r="F19" s="10" t="s">
        <v>48</v>
      </c>
      <c r="G19" s="15" t="s">
        <v>49</v>
      </c>
      <c r="H19" s="15"/>
    </row>
    <row r="22" customFormat="false" ht="15" hidden="false" customHeight="true" outlineLevel="0" collapsed="false">
      <c r="A22" s="3" t="s">
        <v>50</v>
      </c>
      <c r="B22" s="3"/>
      <c r="C22" s="3"/>
      <c r="D22" s="3"/>
      <c r="E22" s="3"/>
      <c r="F22" s="3"/>
      <c r="G22" s="3"/>
      <c r="H22" s="3"/>
    </row>
    <row r="23" customFormat="false" ht="15" hidden="false" customHeight="true" outlineLevel="0" collapsed="false">
      <c r="A23" s="2" t="s">
        <v>51</v>
      </c>
      <c r="B23" s="2"/>
      <c r="C23" s="2"/>
      <c r="D23" s="2"/>
      <c r="E23" s="2"/>
      <c r="F23" s="2"/>
      <c r="G23" s="2"/>
      <c r="H23" s="2"/>
    </row>
    <row r="24" customFormat="false" ht="15" hidden="false" customHeight="true" outlineLevel="0" collapsed="false">
      <c r="A24" s="2" t="s">
        <v>52</v>
      </c>
      <c r="B24" s="2"/>
      <c r="C24" s="2"/>
      <c r="D24" s="2"/>
      <c r="E24" s="2"/>
      <c r="F24" s="2"/>
      <c r="G24" s="2"/>
      <c r="H24" s="2"/>
    </row>
    <row r="25" customFormat="false" ht="15" hidden="false" customHeight="true" outlineLevel="0" collapsed="false">
      <c r="A25" s="2" t="s">
        <v>53</v>
      </c>
      <c r="B25" s="2"/>
      <c r="C25" s="2"/>
      <c r="D25" s="2"/>
      <c r="E25" s="2"/>
      <c r="F25" s="2"/>
      <c r="G25" s="2"/>
      <c r="H25" s="2"/>
    </row>
    <row r="26" customFormat="false" ht="15" hidden="false" customHeight="true" outlineLevel="0" collapsed="false">
      <c r="A26" s="2" t="s">
        <v>54</v>
      </c>
      <c r="B26" s="2"/>
      <c r="C26" s="2"/>
      <c r="D26" s="2"/>
      <c r="E26" s="2"/>
      <c r="F26" s="2"/>
      <c r="G26" s="2"/>
      <c r="H26" s="2"/>
    </row>
  </sheetData>
  <mergeCells count="18">
    <mergeCell ref="A1:H1"/>
    <mergeCell ref="A2:H2"/>
    <mergeCell ref="A4:D4"/>
    <mergeCell ref="F4:H4"/>
    <mergeCell ref="G10:H10"/>
    <mergeCell ref="A13:E13"/>
    <mergeCell ref="F13:H13"/>
    <mergeCell ref="G14:H14"/>
    <mergeCell ref="G15:H15"/>
    <mergeCell ref="G16:H16"/>
    <mergeCell ref="G17:H17"/>
    <mergeCell ref="G18:H18"/>
    <mergeCell ref="G19:H19"/>
    <mergeCell ref="A22:H22"/>
    <mergeCell ref="A23:H23"/>
    <mergeCell ref="A24:H24"/>
    <mergeCell ref="A25:H25"/>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46"/>
    <col collapsed="false" customWidth="true" hidden="false" outlineLevel="0" max="4" min="4" style="0" width="34"/>
    <col collapsed="false" customWidth="true" hidden="false" outlineLevel="0" max="5" min="5" style="0" width="42"/>
    <col collapsed="false" customWidth="true" hidden="false" outlineLevel="0" max="6" min="6" style="0" width="28"/>
    <col collapsed="false" customWidth="true" hidden="false" outlineLevel="0" max="8" min="7" style="0" width="54"/>
  </cols>
  <sheetData>
    <row r="1" customFormat="false" ht="24" hidden="false" customHeight="true" outlineLevel="0" collapsed="false">
      <c r="A1" s="21" t="s">
        <v>55</v>
      </c>
      <c r="B1" s="21"/>
      <c r="C1" s="21"/>
      <c r="D1" s="21"/>
      <c r="E1" s="21"/>
      <c r="F1" s="21"/>
      <c r="G1" s="21"/>
      <c r="H1" s="21"/>
    </row>
    <row r="2" customFormat="false" ht="31.5" hidden="false" customHeight="true" outlineLevel="0" collapsed="false">
      <c r="A2" s="22" t="s">
        <v>56</v>
      </c>
      <c r="B2" s="22" t="s">
        <v>23</v>
      </c>
      <c r="C2" s="22" t="s">
        <v>57</v>
      </c>
      <c r="D2" s="22" t="s">
        <v>58</v>
      </c>
      <c r="E2" s="22" t="s">
        <v>59</v>
      </c>
      <c r="F2" s="22" t="s">
        <v>60</v>
      </c>
      <c r="G2" s="22" t="s">
        <v>61</v>
      </c>
      <c r="H2" s="22" t="s">
        <v>62</v>
      </c>
    </row>
    <row r="3" customFormat="false" ht="23.85" hidden="false" customHeight="false" outlineLevel="0" collapsed="false">
      <c r="A3" s="10" t="n">
        <v>1</v>
      </c>
      <c r="B3" s="23" t="s">
        <v>30</v>
      </c>
      <c r="C3" s="15" t="s">
        <v>63</v>
      </c>
      <c r="D3" s="15" t="s">
        <v>64</v>
      </c>
      <c r="E3" s="15" t="s">
        <v>65</v>
      </c>
      <c r="F3" s="15" t="s">
        <v>66</v>
      </c>
      <c r="G3" s="24" t="s">
        <v>67</v>
      </c>
      <c r="H3" s="24" t="s">
        <v>68</v>
      </c>
    </row>
    <row r="4" customFormat="false" ht="23.85" hidden="false" customHeight="false" outlineLevel="0" collapsed="false">
      <c r="A4" s="10" t="n">
        <v>2</v>
      </c>
      <c r="B4" s="23" t="s">
        <v>30</v>
      </c>
      <c r="C4" s="15" t="s">
        <v>69</v>
      </c>
      <c r="D4" s="15" t="s">
        <v>70</v>
      </c>
      <c r="E4" s="15" t="s">
        <v>71</v>
      </c>
      <c r="F4" s="15" t="s">
        <v>66</v>
      </c>
      <c r="G4" s="24" t="s">
        <v>67</v>
      </c>
      <c r="H4" s="24" t="s">
        <v>72</v>
      </c>
    </row>
    <row r="5" customFormat="false" ht="23.85" hidden="false" customHeight="false" outlineLevel="0" collapsed="false">
      <c r="A5" s="10" t="n">
        <v>3</v>
      </c>
      <c r="B5" s="23" t="s">
        <v>30</v>
      </c>
      <c r="C5" s="15" t="s">
        <v>73</v>
      </c>
      <c r="D5" s="15" t="s">
        <v>74</v>
      </c>
      <c r="E5" s="15" t="s">
        <v>75</v>
      </c>
      <c r="F5" s="15" t="s">
        <v>76</v>
      </c>
      <c r="G5" s="24" t="s">
        <v>77</v>
      </c>
      <c r="H5" s="24" t="s">
        <v>78</v>
      </c>
    </row>
    <row r="6" customFormat="false" ht="23.85" hidden="false" customHeight="false" outlineLevel="0" collapsed="false">
      <c r="A6" s="10" t="n">
        <v>4</v>
      </c>
      <c r="B6" s="23" t="s">
        <v>30</v>
      </c>
      <c r="C6" s="15" t="s">
        <v>79</v>
      </c>
      <c r="D6" s="15" t="s">
        <v>80</v>
      </c>
      <c r="E6" s="15" t="s">
        <v>81</v>
      </c>
      <c r="F6" s="15" t="s">
        <v>76</v>
      </c>
      <c r="G6" s="24" t="s">
        <v>77</v>
      </c>
      <c r="H6" s="24" t="s">
        <v>82</v>
      </c>
    </row>
    <row r="7" customFormat="false" ht="23.85" hidden="false" customHeight="false" outlineLevel="0" collapsed="false">
      <c r="A7" s="10" t="n">
        <v>5</v>
      </c>
      <c r="B7" s="23" t="s">
        <v>30</v>
      </c>
      <c r="C7" s="15" t="s">
        <v>83</v>
      </c>
      <c r="D7" s="15" t="s">
        <v>84</v>
      </c>
      <c r="E7" s="15" t="s">
        <v>85</v>
      </c>
      <c r="F7" s="15" t="s">
        <v>86</v>
      </c>
      <c r="G7" s="24" t="s">
        <v>78</v>
      </c>
      <c r="H7" s="24" t="s">
        <v>72</v>
      </c>
    </row>
    <row r="8" customFormat="false" ht="23.85" hidden="false" customHeight="false" outlineLevel="0" collapsed="false">
      <c r="A8" s="10" t="n">
        <v>6</v>
      </c>
      <c r="B8" s="25" t="s">
        <v>34</v>
      </c>
      <c r="C8" s="15" t="s">
        <v>87</v>
      </c>
      <c r="D8" s="15" t="s">
        <v>88</v>
      </c>
      <c r="E8" s="15" t="s">
        <v>89</v>
      </c>
      <c r="F8" s="15" t="s">
        <v>90</v>
      </c>
      <c r="G8" s="24" t="s">
        <v>91</v>
      </c>
      <c r="H8" s="24" t="s">
        <v>92</v>
      </c>
    </row>
    <row r="9" customFormat="false" ht="23.85" hidden="false" customHeight="false" outlineLevel="0" collapsed="false">
      <c r="A9" s="10" t="n">
        <v>7</v>
      </c>
      <c r="B9" s="25" t="s">
        <v>34</v>
      </c>
      <c r="C9" s="15" t="s">
        <v>93</v>
      </c>
      <c r="D9" s="15" t="s">
        <v>94</v>
      </c>
      <c r="E9" s="15" t="s">
        <v>95</v>
      </c>
      <c r="F9" s="15" t="s">
        <v>90</v>
      </c>
      <c r="G9" s="24" t="s">
        <v>91</v>
      </c>
      <c r="H9" s="24" t="s">
        <v>96</v>
      </c>
    </row>
    <row r="10" customFormat="false" ht="23.85" hidden="false" customHeight="false" outlineLevel="0" collapsed="false">
      <c r="A10" s="10" t="n">
        <v>8</v>
      </c>
      <c r="B10" s="25" t="s">
        <v>34</v>
      </c>
      <c r="C10" s="15" t="s">
        <v>97</v>
      </c>
      <c r="D10" s="15" t="s">
        <v>98</v>
      </c>
      <c r="E10" s="15" t="s">
        <v>99</v>
      </c>
      <c r="F10" s="15" t="s">
        <v>90</v>
      </c>
      <c r="G10" s="24" t="s">
        <v>91</v>
      </c>
      <c r="H10" s="24" t="s">
        <v>92</v>
      </c>
    </row>
    <row r="11" customFormat="false" ht="23.85" hidden="false" customHeight="false" outlineLevel="0" collapsed="false">
      <c r="A11" s="10" t="n">
        <v>9</v>
      </c>
      <c r="B11" s="25" t="s">
        <v>34</v>
      </c>
      <c r="C11" s="15" t="s">
        <v>100</v>
      </c>
      <c r="D11" s="15" t="s">
        <v>101</v>
      </c>
      <c r="E11" s="15" t="s">
        <v>102</v>
      </c>
      <c r="F11" s="15" t="s">
        <v>90</v>
      </c>
      <c r="G11" s="24" t="s">
        <v>91</v>
      </c>
      <c r="H11" s="24" t="s">
        <v>103</v>
      </c>
    </row>
    <row r="12" customFormat="false" ht="23.85" hidden="false" customHeight="false" outlineLevel="0" collapsed="false">
      <c r="A12" s="10" t="n">
        <v>10</v>
      </c>
      <c r="B12" s="25" t="s">
        <v>34</v>
      </c>
      <c r="C12" s="15" t="s">
        <v>104</v>
      </c>
      <c r="D12" s="15" t="s">
        <v>105</v>
      </c>
      <c r="E12" s="15" t="s">
        <v>106</v>
      </c>
      <c r="F12" s="15" t="s">
        <v>90</v>
      </c>
      <c r="G12" s="24" t="s">
        <v>91</v>
      </c>
      <c r="H12" s="24" t="s">
        <v>107</v>
      </c>
    </row>
    <row r="13" customFormat="false" ht="23.85" hidden="false" customHeight="false" outlineLevel="0" collapsed="false">
      <c r="A13" s="10" t="n">
        <v>11</v>
      </c>
      <c r="B13" s="25" t="s">
        <v>34</v>
      </c>
      <c r="C13" s="15" t="s">
        <v>108</v>
      </c>
      <c r="D13" s="15" t="s">
        <v>109</v>
      </c>
      <c r="E13" s="15" t="s">
        <v>110</v>
      </c>
      <c r="F13" s="15" t="s">
        <v>111</v>
      </c>
      <c r="G13" s="24" t="s">
        <v>107</v>
      </c>
      <c r="H13" s="24" t="s">
        <v>112</v>
      </c>
    </row>
    <row r="14" customFormat="false" ht="23.85" hidden="false" customHeight="false" outlineLevel="0" collapsed="false">
      <c r="A14" s="10" t="n">
        <v>12</v>
      </c>
      <c r="B14" s="25" t="s">
        <v>34</v>
      </c>
      <c r="C14" s="15" t="s">
        <v>113</v>
      </c>
      <c r="D14" s="15" t="s">
        <v>114</v>
      </c>
      <c r="E14" s="15" t="s">
        <v>115</v>
      </c>
      <c r="F14" s="15" t="s">
        <v>116</v>
      </c>
      <c r="G14" s="24" t="s">
        <v>117</v>
      </c>
      <c r="H14" s="24" t="s">
        <v>92</v>
      </c>
    </row>
    <row r="15" customFormat="false" ht="23.85" hidden="false" customHeight="false" outlineLevel="0" collapsed="false">
      <c r="A15" s="10" t="n">
        <v>13</v>
      </c>
      <c r="B15" s="26" t="s">
        <v>38</v>
      </c>
      <c r="C15" s="15" t="s">
        <v>118</v>
      </c>
      <c r="D15" s="15" t="s">
        <v>119</v>
      </c>
      <c r="E15" s="15" t="s">
        <v>120</v>
      </c>
      <c r="F15" s="15" t="s">
        <v>118</v>
      </c>
      <c r="G15" s="24" t="s">
        <v>121</v>
      </c>
      <c r="H15" s="24" t="s">
        <v>82</v>
      </c>
    </row>
    <row r="16" customFormat="false" ht="23.85" hidden="false" customHeight="false" outlineLevel="0" collapsed="false">
      <c r="A16" s="10" t="n">
        <v>14</v>
      </c>
      <c r="B16" s="26" t="s">
        <v>38</v>
      </c>
      <c r="C16" s="15" t="s">
        <v>122</v>
      </c>
      <c r="D16" s="15" t="s">
        <v>123</v>
      </c>
      <c r="E16" s="15" t="s">
        <v>124</v>
      </c>
      <c r="F16" s="15" t="s">
        <v>125</v>
      </c>
      <c r="G16" s="24" t="s">
        <v>126</v>
      </c>
      <c r="H16" s="15"/>
    </row>
    <row r="17" customFormat="false" ht="23.85" hidden="false" customHeight="false" outlineLevel="0" collapsed="false">
      <c r="A17" s="10" t="n">
        <v>15</v>
      </c>
      <c r="B17" s="26" t="s">
        <v>38</v>
      </c>
      <c r="C17" s="15" t="s">
        <v>127</v>
      </c>
      <c r="D17" s="15" t="s">
        <v>128</v>
      </c>
      <c r="E17" s="15" t="s">
        <v>129</v>
      </c>
      <c r="F17" s="15" t="s">
        <v>127</v>
      </c>
      <c r="G17" s="24" t="s">
        <v>130</v>
      </c>
      <c r="H17" s="24" t="s">
        <v>107</v>
      </c>
    </row>
    <row r="18" customFormat="false" ht="23.85" hidden="false" customHeight="false" outlineLevel="0" collapsed="false">
      <c r="A18" s="10" t="n">
        <v>16</v>
      </c>
      <c r="B18" s="26" t="s">
        <v>38</v>
      </c>
      <c r="C18" s="15" t="s">
        <v>131</v>
      </c>
      <c r="D18" s="15" t="s">
        <v>132</v>
      </c>
      <c r="E18" s="15" t="s">
        <v>133</v>
      </c>
      <c r="F18" s="15" t="s">
        <v>134</v>
      </c>
      <c r="G18" s="24" t="s">
        <v>135</v>
      </c>
      <c r="H18" s="24" t="s">
        <v>78</v>
      </c>
    </row>
    <row r="19" customFormat="false" ht="23.85" hidden="false" customHeight="false" outlineLevel="0" collapsed="false">
      <c r="A19" s="10" t="n">
        <v>17</v>
      </c>
      <c r="B19" s="26" t="s">
        <v>38</v>
      </c>
      <c r="C19" s="15" t="s">
        <v>136</v>
      </c>
      <c r="D19" s="15" t="s">
        <v>137</v>
      </c>
      <c r="E19" s="15" t="s">
        <v>138</v>
      </c>
      <c r="F19" s="15" t="s">
        <v>134</v>
      </c>
      <c r="G19" s="24" t="s">
        <v>135</v>
      </c>
      <c r="H19" s="24" t="s">
        <v>139</v>
      </c>
    </row>
    <row r="20" customFormat="false" ht="23.85" hidden="false" customHeight="false" outlineLevel="0" collapsed="false">
      <c r="A20" s="10" t="n">
        <v>18</v>
      </c>
      <c r="B20" s="26" t="s">
        <v>38</v>
      </c>
      <c r="C20" s="15" t="s">
        <v>140</v>
      </c>
      <c r="D20" s="15" t="s">
        <v>141</v>
      </c>
      <c r="E20" s="15" t="s">
        <v>142</v>
      </c>
      <c r="F20" s="15" t="s">
        <v>143</v>
      </c>
      <c r="G20" s="24" t="s">
        <v>144</v>
      </c>
      <c r="H20" s="24" t="s">
        <v>82</v>
      </c>
    </row>
    <row r="21" customFormat="false" ht="23.85" hidden="false" customHeight="false" outlineLevel="0" collapsed="false">
      <c r="A21" s="10" t="n">
        <v>19</v>
      </c>
      <c r="B21" s="26" t="s">
        <v>38</v>
      </c>
      <c r="C21" s="15" t="s">
        <v>145</v>
      </c>
      <c r="D21" s="15" t="s">
        <v>146</v>
      </c>
      <c r="E21" s="15" t="s">
        <v>147</v>
      </c>
      <c r="F21" s="15" t="s">
        <v>143</v>
      </c>
      <c r="G21" s="24" t="s">
        <v>144</v>
      </c>
      <c r="H21" s="24" t="s">
        <v>139</v>
      </c>
    </row>
    <row r="22" customFormat="false" ht="23.85" hidden="false" customHeight="false" outlineLevel="0" collapsed="false">
      <c r="A22" s="10" t="n">
        <v>20</v>
      </c>
      <c r="B22" s="26" t="s">
        <v>38</v>
      </c>
      <c r="C22" s="15" t="s">
        <v>148</v>
      </c>
      <c r="D22" s="15" t="s">
        <v>149</v>
      </c>
      <c r="E22" s="15" t="s">
        <v>150</v>
      </c>
      <c r="F22" s="15" t="s">
        <v>151</v>
      </c>
      <c r="G22" s="24" t="s">
        <v>152</v>
      </c>
      <c r="H22" s="24" t="s">
        <v>153</v>
      </c>
    </row>
    <row r="23" customFormat="false" ht="23.85" hidden="false" customHeight="false" outlineLevel="0" collapsed="false">
      <c r="A23" s="10" t="n">
        <v>21</v>
      </c>
      <c r="B23" s="26" t="s">
        <v>38</v>
      </c>
      <c r="C23" s="15" t="s">
        <v>154</v>
      </c>
      <c r="D23" s="15" t="s">
        <v>155</v>
      </c>
      <c r="E23" s="15" t="s">
        <v>156</v>
      </c>
      <c r="F23" s="15" t="s">
        <v>151</v>
      </c>
      <c r="G23" s="24" t="s">
        <v>152</v>
      </c>
      <c r="H23" s="24" t="s">
        <v>157</v>
      </c>
    </row>
    <row r="24" customFormat="false" ht="23.85" hidden="false" customHeight="false" outlineLevel="0" collapsed="false">
      <c r="A24" s="10" t="n">
        <v>22</v>
      </c>
      <c r="B24" s="26" t="s">
        <v>38</v>
      </c>
      <c r="C24" s="15" t="s">
        <v>158</v>
      </c>
      <c r="D24" s="15" t="s">
        <v>159</v>
      </c>
      <c r="E24" s="15" t="s">
        <v>160</v>
      </c>
      <c r="F24" s="15" t="s">
        <v>161</v>
      </c>
      <c r="G24" s="24" t="s">
        <v>162</v>
      </c>
      <c r="H24" s="24" t="s">
        <v>163</v>
      </c>
    </row>
    <row r="25" customFormat="false" ht="23.85" hidden="false" customHeight="false" outlineLevel="0" collapsed="false">
      <c r="A25" s="10" t="n">
        <v>23</v>
      </c>
      <c r="B25" s="26" t="s">
        <v>38</v>
      </c>
      <c r="C25" s="15" t="s">
        <v>164</v>
      </c>
      <c r="D25" s="15" t="s">
        <v>165</v>
      </c>
      <c r="E25" s="15" t="s">
        <v>166</v>
      </c>
      <c r="F25" s="15" t="s">
        <v>161</v>
      </c>
      <c r="G25" s="24" t="s">
        <v>162</v>
      </c>
      <c r="H25" s="24" t="s">
        <v>139</v>
      </c>
    </row>
    <row r="26" customFormat="false" ht="23.85" hidden="false" customHeight="false" outlineLevel="0" collapsed="false">
      <c r="A26" s="10" t="n">
        <v>24</v>
      </c>
      <c r="B26" s="26" t="s">
        <v>38</v>
      </c>
      <c r="C26" s="15" t="s">
        <v>167</v>
      </c>
      <c r="D26" s="15" t="s">
        <v>168</v>
      </c>
      <c r="E26" s="15" t="s">
        <v>169</v>
      </c>
      <c r="F26" s="15" t="s">
        <v>170</v>
      </c>
      <c r="G26" s="24" t="s">
        <v>171</v>
      </c>
      <c r="H26" s="24" t="s">
        <v>163</v>
      </c>
    </row>
    <row r="27" customFormat="false" ht="23.85" hidden="false" customHeight="false" outlineLevel="0" collapsed="false">
      <c r="A27" s="10" t="n">
        <v>25</v>
      </c>
      <c r="B27" s="26" t="s">
        <v>38</v>
      </c>
      <c r="C27" s="15" t="s">
        <v>172</v>
      </c>
      <c r="D27" s="15" t="s">
        <v>173</v>
      </c>
      <c r="E27" s="15" t="s">
        <v>174</v>
      </c>
      <c r="F27" s="15" t="s">
        <v>175</v>
      </c>
      <c r="G27" s="24" t="s">
        <v>176</v>
      </c>
      <c r="H27" s="24" t="s">
        <v>171</v>
      </c>
    </row>
    <row r="28" customFormat="false" ht="23.85" hidden="false" customHeight="false" outlineLevel="0" collapsed="false">
      <c r="A28" s="10" t="n">
        <v>26</v>
      </c>
      <c r="B28" s="26" t="s">
        <v>38</v>
      </c>
      <c r="C28" s="15" t="s">
        <v>177</v>
      </c>
      <c r="D28" s="15" t="s">
        <v>178</v>
      </c>
      <c r="E28" s="15" t="s">
        <v>179</v>
      </c>
      <c r="F28" s="15" t="s">
        <v>180</v>
      </c>
      <c r="G28" s="24" t="s">
        <v>82</v>
      </c>
      <c r="H28" s="24" t="s">
        <v>163</v>
      </c>
    </row>
    <row r="29" customFormat="false" ht="23.85" hidden="false" customHeight="false" outlineLevel="0" collapsed="false">
      <c r="A29" s="10" t="n">
        <v>27</v>
      </c>
      <c r="B29" s="26" t="s">
        <v>38</v>
      </c>
      <c r="C29" s="15" t="s">
        <v>181</v>
      </c>
      <c r="D29" s="15" t="s">
        <v>182</v>
      </c>
      <c r="E29" s="15" t="s">
        <v>183</v>
      </c>
      <c r="F29" s="15" t="s">
        <v>184</v>
      </c>
      <c r="G29" s="24" t="s">
        <v>139</v>
      </c>
      <c r="H29" s="15"/>
    </row>
    <row r="30" customFormat="false" ht="23.85" hidden="false" customHeight="false" outlineLevel="0" collapsed="false">
      <c r="A30" s="10" t="n">
        <v>28</v>
      </c>
      <c r="B30" s="27" t="s">
        <v>42</v>
      </c>
      <c r="C30" s="15" t="s">
        <v>185</v>
      </c>
      <c r="D30" s="15" t="s">
        <v>186</v>
      </c>
      <c r="E30" s="15" t="s">
        <v>187</v>
      </c>
      <c r="F30" s="15" t="s">
        <v>188</v>
      </c>
      <c r="G30" s="24" t="s">
        <v>153</v>
      </c>
      <c r="H30" s="24" t="s">
        <v>189</v>
      </c>
    </row>
    <row r="31" customFormat="false" ht="23.85" hidden="false" customHeight="false" outlineLevel="0" collapsed="false">
      <c r="A31" s="10" t="n">
        <v>29</v>
      </c>
      <c r="B31" s="27" t="s">
        <v>42</v>
      </c>
      <c r="C31" s="15" t="s">
        <v>190</v>
      </c>
      <c r="D31" s="15" t="s">
        <v>191</v>
      </c>
      <c r="E31" s="15" t="s">
        <v>192</v>
      </c>
      <c r="F31" s="15" t="s">
        <v>193</v>
      </c>
      <c r="G31" s="24" t="s">
        <v>194</v>
      </c>
      <c r="H31" s="24" t="s">
        <v>195</v>
      </c>
    </row>
    <row r="32" customFormat="false" ht="23.85" hidden="false" customHeight="false" outlineLevel="0" collapsed="false">
      <c r="A32" s="10" t="n">
        <v>30</v>
      </c>
      <c r="B32" s="27" t="s">
        <v>42</v>
      </c>
      <c r="C32" s="15" t="s">
        <v>196</v>
      </c>
      <c r="D32" s="15" t="s">
        <v>197</v>
      </c>
      <c r="E32" s="15" t="s">
        <v>198</v>
      </c>
      <c r="F32" s="15" t="s">
        <v>199</v>
      </c>
      <c r="G32" s="24" t="s">
        <v>157</v>
      </c>
      <c r="H32" s="24" t="s">
        <v>153</v>
      </c>
    </row>
    <row r="33" customFormat="false" ht="23.85" hidden="false" customHeight="false" outlineLevel="0" collapsed="false">
      <c r="A33" s="10" t="n">
        <v>31</v>
      </c>
      <c r="B33" s="27" t="s">
        <v>42</v>
      </c>
      <c r="C33" s="15" t="s">
        <v>200</v>
      </c>
      <c r="D33" s="15" t="s">
        <v>201</v>
      </c>
      <c r="E33" s="15" t="s">
        <v>202</v>
      </c>
      <c r="F33" s="15" t="s">
        <v>203</v>
      </c>
      <c r="G33" s="24" t="s">
        <v>171</v>
      </c>
      <c r="H33" s="15"/>
    </row>
    <row r="34" customFormat="false" ht="23.85" hidden="false" customHeight="false" outlineLevel="0" collapsed="false">
      <c r="A34" s="10" t="n">
        <v>32</v>
      </c>
      <c r="B34" s="28" t="s">
        <v>46</v>
      </c>
      <c r="C34" s="15" t="s">
        <v>204</v>
      </c>
      <c r="D34" s="15" t="s">
        <v>205</v>
      </c>
      <c r="E34" s="15" t="s">
        <v>206</v>
      </c>
      <c r="F34" s="15" t="s">
        <v>207</v>
      </c>
      <c r="G34" s="15"/>
      <c r="H34" s="15"/>
    </row>
  </sheetData>
  <autoFilter ref="A2:H34"/>
  <mergeCells count="1">
    <mergeCell ref="A1:H1"/>
  </mergeCells>
  <hyperlinks>
    <hyperlink ref="G3" r:id="rId1" display="https://www.professormesser.com/free-a-plus-training/220-1201/220-1201-video/220-1201-training-course/"/>
    <hyperlink ref="H3" r:id="rId2" display="https://ubuntu.com/download/desktop"/>
    <hyperlink ref="G4" r:id="rId3" display="https://www.professormesser.com/free-a-plus-training/220-1201/220-1201-video/220-1201-training-course/"/>
    <hyperlink ref="H4" r:id="rId4" display="https://www.virtualbox.org/wiki/Downloads"/>
    <hyperlink ref="G5" r:id="rId5" display="https://www.professormesser.com/free-a-plus-training/220-1202/220-1202-video/220-1202-training-course/"/>
    <hyperlink ref="H5" r:id="rId6" display="https://www.netdevgroup.com/online/courses/open-source/linux-unhatched"/>
    <hyperlink ref="G6" r:id="rId7" display="https://www.professormesser.com/free-a-plus-training/220-1202/220-1202-video/220-1202-training-course/"/>
    <hyperlink ref="H6" r:id="rId8" display="https://www.professormesser.com/security-plus/sy0-701/sy0-701-video/sy0-701-comptia-security-plus-course/"/>
    <hyperlink ref="G7" r:id="rId9" display="https://www.netdevgroup.com/online/courses/open-source/linux-unhatched"/>
    <hyperlink ref="H7" r:id="rId10" display="https://www.virtualbox.org/wiki/Downloads"/>
    <hyperlink ref="G8" r:id="rId11" display="https://www.cisco.com/site/us/en/learn/training-certifications/training/courses/ccst-networking.html"/>
    <hyperlink ref="H8" r:id="rId12" display="https://www.professormesser.com/network-plus/n10-009/n10-009-video/n10-009-training-course/"/>
    <hyperlink ref="G9" r:id="rId13" display="https://www.cisco.com/site/us/en/learn/training-certifications/training/courses/ccst-networking.html"/>
    <hyperlink ref="H9" r:id="rId14" display="https://contenthub.netacad.com/courses/srwe/_common/1.1.7-lab---basic-switch-configuration.pdf"/>
    <hyperlink ref="G10" r:id="rId15" display="https://www.cisco.com/site/us/en/learn/training-certifications/training/courses/ccst-networking.html"/>
    <hyperlink ref="H10" r:id="rId16" display="https://www.professormesser.com/network-plus/n10-009/n10-009-video/n10-009-training-course/"/>
    <hyperlink ref="G11" r:id="rId17" display="https://www.cisco.com/site/us/en/learn/training-certifications/training/courses/ccst-networking.html"/>
    <hyperlink ref="H11" r:id="rId18" display="https://contenthub.netacad.com/courses/netess/_common/4.5.8-lab---trace-a-route.html"/>
    <hyperlink ref="G12" r:id="rId19" display="https://www.cisco.com/site/us/en/learn/training-certifications/training/courses/ccst-networking.html"/>
    <hyperlink ref="H12" r:id="rId20" display="https://www.wireshark.org/download.html"/>
    <hyperlink ref="G13" r:id="rId21" display="https://www.wireshark.org/download.html"/>
    <hyperlink ref="H13" r:id="rId22" display="https://contenthub.netacad.com/courses/cyberops/_common/5.3.7-lab---introduction-to-wireshark.pdf"/>
    <hyperlink ref="G14" r:id="rId23" display="https://tryhackme.com/path/outline/presecurity"/>
    <hyperlink ref="H14" r:id="rId24" display="https://www.professormesser.com/network-plus/n10-009/n10-009-video/n10-009-training-course/"/>
    <hyperlink ref="G15" r:id="rId25" display="https://www.coursera.org/learn/foundations-of-cybersecurity?specialization=google-cybersecurity"/>
    <hyperlink ref="H15" r:id="rId26" display="https://www.professormesser.com/security-plus/sy0-701/sy0-701-video/sy0-701-comptia-security-plus-course/"/>
    <hyperlink ref="G16" r:id="rId27" display="https://www.coursera.org/learn/manage-security-risks?specialization=google-cybersecurity"/>
    <hyperlink ref="G17" r:id="rId28" display="https://www.coursera.org/learn/networks-and-network-security?specialization=google-cybersecurity"/>
    <hyperlink ref="H17" r:id="rId29" display="https://www.wireshark.org/download.html"/>
    <hyperlink ref="G18" r:id="rId30" display="https://www.coursera.org/learn/linux-and-sql?specialization=google-cybersecurity"/>
    <hyperlink ref="H18" r:id="rId31" display="https://www.netdevgroup.com/online/courses/open-source/linux-unhatched"/>
    <hyperlink ref="G19" r:id="rId32" display="https://www.coursera.org/learn/linux-and-sql?specialization=google-cybersecurity"/>
    <hyperlink ref="H19" r:id="rId33" display="https://tryhackme.com/path/outline/cybersecurity101"/>
    <hyperlink ref="G20" r:id="rId34" display="https://www.coursera.org/learn/assets-threats-and-vulnerabilities?specialization=google-cybersecurity"/>
    <hyperlink ref="H20" r:id="rId35" display="https://www.professormesser.com/security-plus/sy0-701/sy0-701-video/sy0-701-comptia-security-plus-course/"/>
    <hyperlink ref="G21" r:id="rId36" display="https://www.coursera.org/learn/assets-threats-and-vulnerabilities?specialization=google-cybersecurity"/>
    <hyperlink ref="H21" r:id="rId37" display="https://tryhackme.com/path/outline/cybersecurity101"/>
    <hyperlink ref="G22" r:id="rId38" display="https://www.coursera.org/learn/detection-and-response?specialization=google-cybersecurity"/>
    <hyperlink ref="H22" r:id="rId39" display="https://www.cisa.gov/resources-tools/programs/Incident-Response-Training"/>
    <hyperlink ref="G23" r:id="rId40" display="https://www.coursera.org/learn/detection-and-response?specialization=google-cybersecurity"/>
    <hyperlink ref="H23" r:id="rId41" display="https://tryhackme.com/module/defensive-security"/>
    <hyperlink ref="G24" r:id="rId42" display="https://www.coursera.org/learn/automate-cybersecurity-tasks-with-python?specialization=google-cybersecurity"/>
    <hyperlink ref="H24" r:id="rId43" display="https://www.coursera.org/professional-certificates/google-cybersecurity"/>
    <hyperlink ref="G25" r:id="rId44" display="https://www.coursera.org/learn/automate-cybersecurity-tasks-with-python?specialization=google-cybersecurity"/>
    <hyperlink ref="H25" r:id="rId45" display="https://tryhackme.com/path/outline/cybersecurity101"/>
    <hyperlink ref="G26" r:id="rId46" display="https://www.coursera.org/learn/prepare-for-cybersecurity-jobs?specialization=google-cybersecurity"/>
    <hyperlink ref="H26" r:id="rId47" display="https://www.coursera.org/professional-certificates/google-cybersecurity"/>
    <hyperlink ref="G27" r:id="rId48" display="https://www.coursera.org/learn/accelerate-your-job-search-with-ai?specialization=google-cybersecurity"/>
    <hyperlink ref="H27" r:id="rId49" display="https://www.coursera.org/learn/prepare-for-cybersecurity-jobs?specialization=google-cybersecurity"/>
    <hyperlink ref="G28" r:id="rId50" display="https://www.professormesser.com/security-plus/sy0-701/sy0-701-video/sy0-701-comptia-security-plus-course/"/>
    <hyperlink ref="H28" r:id="rId51" display="https://www.coursera.org/professional-certificates/google-cybersecurity"/>
    <hyperlink ref="G29" r:id="rId52" display="https://tryhackme.com/path/outline/cybersecurity101"/>
    <hyperlink ref="G30" r:id="rId53" display="https://www.cisa.gov/resources-tools/programs/Incident-Response-Training"/>
    <hyperlink ref="H30" r:id="rId54" display="https://www.cisa.gov/resources-tools/resources/cisa-learning"/>
    <hyperlink ref="G31" r:id="rId55" display="https://www.cisa.gov/critical-infrastructure-training"/>
    <hyperlink ref="H31" r:id="rId56" display="https://www.cisa.gov/resources-tools/resources/cyber-security-evaluation-tool-cset-fact-sheet-public-safety"/>
    <hyperlink ref="G32" r:id="rId57" display="https://tryhackme.com/module/defensive-security"/>
    <hyperlink ref="H32" r:id="rId58" display="https://www.cisa.gov/resources-tools/programs/Incident-Response-Training"/>
    <hyperlink ref="G33" r:id="rId59" display="https://www.coursera.org/learn/prepare-for-cybersecurity-jobs?specialization=google-cybersecurit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2" min="1" style="0" width="8"/>
    <col collapsed="false" customWidth="true" hidden="false" outlineLevel="0" max="3" min="3" style="0" width="12"/>
    <col collapsed="false" customWidth="true" hidden="false" outlineLevel="0" max="4" min="4" style="0" width="8"/>
    <col collapsed="false" customWidth="true" hidden="false" outlineLevel="0" max="5" min="5" style="0" width="18"/>
    <col collapsed="false" customWidth="true" hidden="false" outlineLevel="0" max="6" min="6" style="0" width="34"/>
    <col collapsed="false" customWidth="true" hidden="false" outlineLevel="0" max="7" min="7" style="0" width="28"/>
    <col collapsed="false" customWidth="true" hidden="false" outlineLevel="0" max="8" min="8" style="0" width="32"/>
    <col collapsed="false" customWidth="true" hidden="false" outlineLevel="0" max="9" min="9" style="0" width="48"/>
    <col collapsed="false" customWidth="true" hidden="false" outlineLevel="0" max="10" min="10" style="0" width="28"/>
    <col collapsed="false" customWidth="true" hidden="false" outlineLevel="0" max="11" min="11" style="0" width="34"/>
    <col collapsed="false" customWidth="true" hidden="false" outlineLevel="0" max="12" min="12" style="0" width="28"/>
    <col collapsed="false" customWidth="true" hidden="false" outlineLevel="0" max="13" min="13" style="0" width="54"/>
    <col collapsed="false" customWidth="true" hidden="false" outlineLevel="0" max="14" min="14" style="0" width="22"/>
    <col collapsed="false" customWidth="true" hidden="false" outlineLevel="0" max="15" min="15" style="0" width="54"/>
    <col collapsed="false" customWidth="true" hidden="false" outlineLevel="0" max="16" min="16" style="0" width="14"/>
    <col collapsed="false" customWidth="true" hidden="false" outlineLevel="0" max="17" min="17" style="0" width="28"/>
    <col collapsed="false" customWidth="true" hidden="false" outlineLevel="0" max="18" min="18" style="0" width="16"/>
    <col collapsed="false" customWidth="true" hidden="false" outlineLevel="0" max="20" min="19" style="0" width="10"/>
    <col collapsed="false" customWidth="true" hidden="false" outlineLevel="0" max="21" min="21" style="0" width="12"/>
    <col collapsed="false" customWidth="true" hidden="false" outlineLevel="0" max="22" min="22" style="0" width="18"/>
  </cols>
  <sheetData>
    <row r="1" customFormat="false" ht="24" hidden="false" customHeight="true" outlineLevel="0" collapsed="false">
      <c r="A1" s="22" t="s">
        <v>56</v>
      </c>
      <c r="B1" s="22" t="s">
        <v>208</v>
      </c>
      <c r="C1" s="22" t="s">
        <v>209</v>
      </c>
      <c r="D1" s="22" t="s">
        <v>210</v>
      </c>
      <c r="E1" s="22" t="s">
        <v>23</v>
      </c>
      <c r="F1" s="22" t="s">
        <v>57</v>
      </c>
      <c r="G1" s="22" t="s">
        <v>211</v>
      </c>
      <c r="H1" s="22" t="s">
        <v>212</v>
      </c>
      <c r="I1" s="22" t="s">
        <v>213</v>
      </c>
      <c r="J1" s="22" t="s">
        <v>214</v>
      </c>
      <c r="K1" s="22" t="s">
        <v>215</v>
      </c>
      <c r="L1" s="22" t="s">
        <v>60</v>
      </c>
      <c r="M1" s="22" t="s">
        <v>61</v>
      </c>
      <c r="N1" s="22" t="s">
        <v>216</v>
      </c>
      <c r="O1" s="22" t="s">
        <v>62</v>
      </c>
      <c r="P1" s="22" t="s">
        <v>217</v>
      </c>
      <c r="Q1" s="22" t="s">
        <v>218</v>
      </c>
      <c r="R1" s="22" t="s">
        <v>219</v>
      </c>
      <c r="S1" s="22" t="s">
        <v>220</v>
      </c>
      <c r="T1" s="22" t="s">
        <v>221</v>
      </c>
      <c r="U1" s="22" t="s">
        <v>222</v>
      </c>
      <c r="V1" s="22" t="s">
        <v>223</v>
      </c>
    </row>
    <row r="2" customFormat="false" ht="31.5" hidden="false" customHeight="true" outlineLevel="0" collapsed="false">
      <c r="A2" s="10" t="n">
        <v>1</v>
      </c>
      <c r="B2" s="15" t="s">
        <v>224</v>
      </c>
      <c r="C2" s="12" t="s">
        <v>225</v>
      </c>
      <c r="D2" s="5" t="n">
        <v>2.5</v>
      </c>
      <c r="E2" s="23" t="s">
        <v>30</v>
      </c>
      <c r="F2" s="15" t="s">
        <v>63</v>
      </c>
      <c r="G2" s="15" t="s">
        <v>226</v>
      </c>
      <c r="H2" s="15" t="s">
        <v>227</v>
      </c>
      <c r="I2" s="15" t="s">
        <v>228</v>
      </c>
      <c r="J2" s="15" t="s">
        <v>65</v>
      </c>
      <c r="K2" s="15" t="s">
        <v>229</v>
      </c>
      <c r="L2" s="15" t="s">
        <v>66</v>
      </c>
      <c r="M2" s="24" t="s">
        <v>67</v>
      </c>
      <c r="N2" s="15" t="s">
        <v>230</v>
      </c>
      <c r="O2" s="24" t="s">
        <v>68</v>
      </c>
      <c r="P2" s="15" t="s">
        <v>231</v>
      </c>
      <c r="Q2" s="10" t="s">
        <v>232</v>
      </c>
      <c r="R2" s="29" t="s">
        <v>233</v>
      </c>
      <c r="S2" s="17" t="s">
        <v>234</v>
      </c>
      <c r="T2" s="18" t="s">
        <v>235</v>
      </c>
      <c r="U2" s="18" t="s">
        <v>235</v>
      </c>
      <c r="V2" s="17" t="s">
        <v>234</v>
      </c>
    </row>
    <row r="3" customFormat="false" ht="57.75" hidden="false" customHeight="true" outlineLevel="0" collapsed="false">
      <c r="A3" s="10" t="n">
        <v>1</v>
      </c>
      <c r="B3" s="15" t="s">
        <v>236</v>
      </c>
      <c r="C3" s="12" t="s">
        <v>225</v>
      </c>
      <c r="D3" s="5" t="n">
        <v>2.5</v>
      </c>
      <c r="E3" s="23" t="s">
        <v>30</v>
      </c>
      <c r="F3" s="15" t="s">
        <v>63</v>
      </c>
      <c r="G3" s="15" t="s">
        <v>237</v>
      </c>
      <c r="H3" s="15" t="s">
        <v>227</v>
      </c>
      <c r="I3" s="15" t="s">
        <v>238</v>
      </c>
      <c r="J3" s="15" t="s">
        <v>65</v>
      </c>
      <c r="K3" s="15" t="s">
        <v>229</v>
      </c>
      <c r="L3" s="15" t="s">
        <v>66</v>
      </c>
      <c r="M3" s="24" t="s">
        <v>67</v>
      </c>
      <c r="N3" s="15" t="s">
        <v>230</v>
      </c>
      <c r="O3" s="24" t="s">
        <v>68</v>
      </c>
      <c r="P3" s="15" t="s">
        <v>231</v>
      </c>
      <c r="Q3" s="10" t="s">
        <v>239</v>
      </c>
      <c r="R3" s="29" t="s">
        <v>233</v>
      </c>
      <c r="S3" s="17" t="s">
        <v>234</v>
      </c>
      <c r="T3" s="17" t="s">
        <v>234</v>
      </c>
      <c r="U3" s="18" t="s">
        <v>235</v>
      </c>
      <c r="V3" s="18" t="s">
        <v>235</v>
      </c>
    </row>
    <row r="4" customFormat="false" ht="57.75" hidden="false" customHeight="true" outlineLevel="0" collapsed="false">
      <c r="A4" s="10" t="n">
        <v>1</v>
      </c>
      <c r="B4" s="15" t="s">
        <v>240</v>
      </c>
      <c r="C4" s="12" t="s">
        <v>225</v>
      </c>
      <c r="D4" s="5" t="n">
        <v>2.5</v>
      </c>
      <c r="E4" s="23" t="s">
        <v>30</v>
      </c>
      <c r="F4" s="15" t="s">
        <v>63</v>
      </c>
      <c r="G4" s="15" t="s">
        <v>241</v>
      </c>
      <c r="H4" s="15" t="s">
        <v>227</v>
      </c>
      <c r="I4" s="15" t="s">
        <v>242</v>
      </c>
      <c r="J4" s="15" t="s">
        <v>65</v>
      </c>
      <c r="K4" s="15" t="s">
        <v>229</v>
      </c>
      <c r="L4" s="15" t="s">
        <v>66</v>
      </c>
      <c r="M4" s="24" t="s">
        <v>67</v>
      </c>
      <c r="N4" s="15" t="s">
        <v>230</v>
      </c>
      <c r="O4" s="24" t="s">
        <v>68</v>
      </c>
      <c r="P4" s="15" t="s">
        <v>231</v>
      </c>
      <c r="Q4" s="10" t="s">
        <v>243</v>
      </c>
      <c r="R4" s="29" t="s">
        <v>233</v>
      </c>
      <c r="S4" s="17" t="s">
        <v>234</v>
      </c>
      <c r="T4" s="17" t="s">
        <v>234</v>
      </c>
      <c r="U4" s="17" t="s">
        <v>234</v>
      </c>
      <c r="V4" s="17" t="s">
        <v>234</v>
      </c>
    </row>
    <row r="5" customFormat="false" ht="57.75" hidden="false" customHeight="true" outlineLevel="0" collapsed="false">
      <c r="A5" s="10" t="n">
        <v>1</v>
      </c>
      <c r="B5" s="15" t="s">
        <v>244</v>
      </c>
      <c r="C5" s="12" t="s">
        <v>225</v>
      </c>
      <c r="D5" s="5" t="n">
        <v>2.5</v>
      </c>
      <c r="E5" s="23" t="s">
        <v>30</v>
      </c>
      <c r="F5" s="15" t="s">
        <v>63</v>
      </c>
      <c r="G5" s="15" t="s">
        <v>245</v>
      </c>
      <c r="H5" s="15" t="s">
        <v>227</v>
      </c>
      <c r="I5" s="15" t="s">
        <v>246</v>
      </c>
      <c r="J5" s="15" t="s">
        <v>65</v>
      </c>
      <c r="K5" s="15" t="s">
        <v>229</v>
      </c>
      <c r="L5" s="15" t="s">
        <v>66</v>
      </c>
      <c r="M5" s="24" t="s">
        <v>67</v>
      </c>
      <c r="N5" s="15" t="s">
        <v>230</v>
      </c>
      <c r="O5" s="24" t="s">
        <v>68</v>
      </c>
      <c r="P5" s="15" t="s">
        <v>231</v>
      </c>
      <c r="Q5" s="10" t="s">
        <v>247</v>
      </c>
      <c r="R5" s="29" t="s">
        <v>233</v>
      </c>
      <c r="S5" s="17" t="s">
        <v>234</v>
      </c>
      <c r="T5" s="18" t="s">
        <v>235</v>
      </c>
      <c r="U5" s="17" t="s">
        <v>234</v>
      </c>
      <c r="V5" s="18" t="s">
        <v>235</v>
      </c>
    </row>
    <row r="6" customFormat="false" ht="57.75" hidden="false" customHeight="true" outlineLevel="0" collapsed="false">
      <c r="A6" s="10" t="n">
        <v>1</v>
      </c>
      <c r="B6" s="15" t="s">
        <v>248</v>
      </c>
      <c r="C6" s="12" t="s">
        <v>225</v>
      </c>
      <c r="D6" s="5" t="n">
        <v>2.5</v>
      </c>
      <c r="E6" s="23" t="s">
        <v>30</v>
      </c>
      <c r="F6" s="15" t="s">
        <v>63</v>
      </c>
      <c r="G6" s="15" t="s">
        <v>249</v>
      </c>
      <c r="H6" s="15" t="s">
        <v>227</v>
      </c>
      <c r="I6" s="15" t="s">
        <v>250</v>
      </c>
      <c r="J6" s="15" t="s">
        <v>64</v>
      </c>
      <c r="K6" s="15" t="s">
        <v>251</v>
      </c>
      <c r="L6" s="15" t="s">
        <v>66</v>
      </c>
      <c r="M6" s="24" t="s">
        <v>67</v>
      </c>
      <c r="N6" s="15" t="s">
        <v>230</v>
      </c>
      <c r="O6" s="24" t="s">
        <v>68</v>
      </c>
      <c r="P6" s="15" t="s">
        <v>231</v>
      </c>
      <c r="Q6" s="10" t="s">
        <v>220</v>
      </c>
      <c r="R6" s="29" t="s">
        <v>233</v>
      </c>
      <c r="S6" s="17" t="s">
        <v>234</v>
      </c>
      <c r="T6" s="18" t="s">
        <v>235</v>
      </c>
      <c r="U6" s="18" t="s">
        <v>235</v>
      </c>
      <c r="V6" s="18" t="s">
        <v>235</v>
      </c>
    </row>
    <row r="7" customFormat="false" ht="54" hidden="false" customHeight="true" outlineLevel="0" collapsed="false">
      <c r="A7" s="10" t="n">
        <v>1</v>
      </c>
      <c r="B7" s="15" t="s">
        <v>252</v>
      </c>
      <c r="C7" s="30" t="s">
        <v>253</v>
      </c>
      <c r="D7" s="5" t="n">
        <v>2.5</v>
      </c>
      <c r="E7" s="23" t="s">
        <v>30</v>
      </c>
      <c r="F7" s="15" t="s">
        <v>63</v>
      </c>
      <c r="G7" s="15" t="s">
        <v>254</v>
      </c>
      <c r="H7" s="15" t="s">
        <v>255</v>
      </c>
      <c r="I7" s="15" t="s">
        <v>256</v>
      </c>
      <c r="J7" s="15" t="s">
        <v>257</v>
      </c>
      <c r="K7" s="15" t="s">
        <v>258</v>
      </c>
      <c r="L7" s="15" t="s">
        <v>66</v>
      </c>
      <c r="M7" s="24" t="s">
        <v>67</v>
      </c>
      <c r="N7" s="15" t="s">
        <v>230</v>
      </c>
      <c r="O7" s="24" t="s">
        <v>68</v>
      </c>
      <c r="P7" s="15" t="s">
        <v>231</v>
      </c>
      <c r="Q7" s="10" t="s">
        <v>259</v>
      </c>
      <c r="R7" s="29" t="s">
        <v>233</v>
      </c>
      <c r="S7" s="17" t="s">
        <v>234</v>
      </c>
      <c r="T7" s="17" t="s">
        <v>234</v>
      </c>
      <c r="U7" s="17" t="s">
        <v>234</v>
      </c>
      <c r="V7" s="17" t="s">
        <v>234</v>
      </c>
    </row>
    <row r="8" customFormat="false" ht="31.5" hidden="false" customHeight="true" outlineLevel="0" collapsed="false">
      <c r="A8" s="10" t="n">
        <v>1</v>
      </c>
      <c r="B8" s="15" t="s">
        <v>260</v>
      </c>
      <c r="C8" s="28" t="s">
        <v>261</v>
      </c>
      <c r="D8" s="10" t="n">
        <v>0</v>
      </c>
      <c r="E8" s="23" t="s">
        <v>30</v>
      </c>
      <c r="F8" s="15" t="s">
        <v>63</v>
      </c>
      <c r="G8" s="15" t="s">
        <v>262</v>
      </c>
      <c r="H8" s="15" t="s">
        <v>263</v>
      </c>
      <c r="I8" s="15" t="s">
        <v>264</v>
      </c>
      <c r="J8" s="15" t="s">
        <v>265</v>
      </c>
      <c r="K8" s="15" t="s">
        <v>266</v>
      </c>
      <c r="L8" s="15"/>
      <c r="M8" s="15"/>
      <c r="N8" s="15"/>
      <c r="O8" s="15"/>
      <c r="P8" s="15"/>
      <c r="Q8" s="31" t="s">
        <v>261</v>
      </c>
      <c r="R8" s="31" t="s">
        <v>235</v>
      </c>
      <c r="S8" s="18" t="s">
        <v>235</v>
      </c>
      <c r="T8" s="18" t="s">
        <v>235</v>
      </c>
      <c r="U8" s="18" t="s">
        <v>235</v>
      </c>
      <c r="V8" s="18" t="s">
        <v>235</v>
      </c>
    </row>
    <row r="9" customFormat="false" ht="57.75" hidden="false" customHeight="true" outlineLevel="0" collapsed="false">
      <c r="A9" s="10" t="n">
        <v>2</v>
      </c>
      <c r="B9" s="15" t="s">
        <v>224</v>
      </c>
      <c r="C9" s="12" t="s">
        <v>225</v>
      </c>
      <c r="D9" s="5" t="n">
        <v>2.5</v>
      </c>
      <c r="E9" s="23" t="s">
        <v>30</v>
      </c>
      <c r="F9" s="15" t="s">
        <v>69</v>
      </c>
      <c r="G9" s="15" t="s">
        <v>226</v>
      </c>
      <c r="H9" s="15" t="s">
        <v>227</v>
      </c>
      <c r="I9" s="15" t="s">
        <v>267</v>
      </c>
      <c r="J9" s="15" t="s">
        <v>71</v>
      </c>
      <c r="K9" s="15" t="s">
        <v>268</v>
      </c>
      <c r="L9" s="15" t="s">
        <v>66</v>
      </c>
      <c r="M9" s="24" t="s">
        <v>67</v>
      </c>
      <c r="N9" s="15" t="s">
        <v>269</v>
      </c>
      <c r="O9" s="24" t="s">
        <v>72</v>
      </c>
      <c r="P9" s="15" t="s">
        <v>231</v>
      </c>
      <c r="Q9" s="10" t="s">
        <v>270</v>
      </c>
      <c r="R9" s="29" t="s">
        <v>233</v>
      </c>
      <c r="S9" s="17" t="s">
        <v>234</v>
      </c>
      <c r="T9" s="17" t="s">
        <v>234</v>
      </c>
      <c r="U9" s="18" t="s">
        <v>235</v>
      </c>
      <c r="V9" s="17" t="s">
        <v>234</v>
      </c>
    </row>
    <row r="10" customFormat="false" ht="57.75" hidden="false" customHeight="true" outlineLevel="0" collapsed="false">
      <c r="A10" s="10" t="n">
        <v>2</v>
      </c>
      <c r="B10" s="15" t="s">
        <v>236</v>
      </c>
      <c r="C10" s="12" t="s">
        <v>225</v>
      </c>
      <c r="D10" s="5" t="n">
        <v>2.5</v>
      </c>
      <c r="E10" s="23" t="s">
        <v>30</v>
      </c>
      <c r="F10" s="15" t="s">
        <v>69</v>
      </c>
      <c r="G10" s="15" t="s">
        <v>237</v>
      </c>
      <c r="H10" s="15" t="s">
        <v>227</v>
      </c>
      <c r="I10" s="15" t="s">
        <v>271</v>
      </c>
      <c r="J10" s="15" t="s">
        <v>71</v>
      </c>
      <c r="K10" s="15" t="s">
        <v>268</v>
      </c>
      <c r="L10" s="15" t="s">
        <v>66</v>
      </c>
      <c r="M10" s="24" t="s">
        <v>67</v>
      </c>
      <c r="N10" s="15" t="s">
        <v>269</v>
      </c>
      <c r="O10" s="24" t="s">
        <v>72</v>
      </c>
      <c r="P10" s="15" t="s">
        <v>231</v>
      </c>
      <c r="Q10" s="10" t="s">
        <v>239</v>
      </c>
      <c r="R10" s="29" t="s">
        <v>233</v>
      </c>
      <c r="S10" s="17" t="s">
        <v>234</v>
      </c>
      <c r="T10" s="17" t="s">
        <v>234</v>
      </c>
      <c r="U10" s="18" t="s">
        <v>235</v>
      </c>
      <c r="V10" s="18" t="s">
        <v>235</v>
      </c>
    </row>
    <row r="11" customFormat="false" ht="57.75" hidden="false" customHeight="true" outlineLevel="0" collapsed="false">
      <c r="A11" s="10" t="n">
        <v>2</v>
      </c>
      <c r="B11" s="15" t="s">
        <v>240</v>
      </c>
      <c r="C11" s="12" t="s">
        <v>225</v>
      </c>
      <c r="D11" s="5" t="n">
        <v>2.5</v>
      </c>
      <c r="E11" s="23" t="s">
        <v>30</v>
      </c>
      <c r="F11" s="15" t="s">
        <v>69</v>
      </c>
      <c r="G11" s="15" t="s">
        <v>241</v>
      </c>
      <c r="H11" s="15" t="s">
        <v>227</v>
      </c>
      <c r="I11" s="15" t="s">
        <v>272</v>
      </c>
      <c r="J11" s="15" t="s">
        <v>71</v>
      </c>
      <c r="K11" s="15" t="s">
        <v>268</v>
      </c>
      <c r="L11" s="15" t="s">
        <v>66</v>
      </c>
      <c r="M11" s="24" t="s">
        <v>67</v>
      </c>
      <c r="N11" s="15" t="s">
        <v>269</v>
      </c>
      <c r="O11" s="24" t="s">
        <v>72</v>
      </c>
      <c r="P11" s="15" t="s">
        <v>231</v>
      </c>
      <c r="Q11" s="10" t="s">
        <v>243</v>
      </c>
      <c r="R11" s="29" t="s">
        <v>233</v>
      </c>
      <c r="S11" s="17" t="s">
        <v>234</v>
      </c>
      <c r="T11" s="17" t="s">
        <v>234</v>
      </c>
      <c r="U11" s="17" t="s">
        <v>234</v>
      </c>
      <c r="V11" s="17" t="s">
        <v>234</v>
      </c>
    </row>
    <row r="12" customFormat="false" ht="57.75" hidden="false" customHeight="true" outlineLevel="0" collapsed="false">
      <c r="A12" s="10" t="n">
        <v>2</v>
      </c>
      <c r="B12" s="15" t="s">
        <v>244</v>
      </c>
      <c r="C12" s="12" t="s">
        <v>225</v>
      </c>
      <c r="D12" s="5" t="n">
        <v>2.5</v>
      </c>
      <c r="E12" s="23" t="s">
        <v>30</v>
      </c>
      <c r="F12" s="15" t="s">
        <v>69</v>
      </c>
      <c r="G12" s="15" t="s">
        <v>245</v>
      </c>
      <c r="H12" s="15" t="s">
        <v>227</v>
      </c>
      <c r="I12" s="15" t="s">
        <v>273</v>
      </c>
      <c r="J12" s="15" t="s">
        <v>71</v>
      </c>
      <c r="K12" s="15" t="s">
        <v>268</v>
      </c>
      <c r="L12" s="15" t="s">
        <v>66</v>
      </c>
      <c r="M12" s="24" t="s">
        <v>67</v>
      </c>
      <c r="N12" s="15" t="s">
        <v>269</v>
      </c>
      <c r="O12" s="24" t="s">
        <v>72</v>
      </c>
      <c r="P12" s="15" t="s">
        <v>231</v>
      </c>
      <c r="Q12" s="10" t="s">
        <v>247</v>
      </c>
      <c r="R12" s="32" t="s">
        <v>274</v>
      </c>
      <c r="S12" s="17" t="s">
        <v>234</v>
      </c>
      <c r="T12" s="18" t="s">
        <v>235</v>
      </c>
      <c r="U12" s="17" t="s">
        <v>234</v>
      </c>
      <c r="V12" s="18" t="s">
        <v>235</v>
      </c>
    </row>
    <row r="13" customFormat="false" ht="57.75" hidden="false" customHeight="true" outlineLevel="0" collapsed="false">
      <c r="A13" s="10" t="n">
        <v>2</v>
      </c>
      <c r="B13" s="15" t="s">
        <v>248</v>
      </c>
      <c r="C13" s="12" t="s">
        <v>225</v>
      </c>
      <c r="D13" s="5" t="n">
        <v>2.5</v>
      </c>
      <c r="E13" s="23" t="s">
        <v>30</v>
      </c>
      <c r="F13" s="15" t="s">
        <v>69</v>
      </c>
      <c r="G13" s="15" t="s">
        <v>249</v>
      </c>
      <c r="H13" s="15" t="s">
        <v>227</v>
      </c>
      <c r="I13" s="15" t="s">
        <v>275</v>
      </c>
      <c r="J13" s="15" t="s">
        <v>70</v>
      </c>
      <c r="K13" s="15" t="s">
        <v>251</v>
      </c>
      <c r="L13" s="15" t="s">
        <v>66</v>
      </c>
      <c r="M13" s="24" t="s">
        <v>67</v>
      </c>
      <c r="N13" s="15" t="s">
        <v>269</v>
      </c>
      <c r="O13" s="24" t="s">
        <v>72</v>
      </c>
      <c r="P13" s="15" t="s">
        <v>231</v>
      </c>
      <c r="Q13" s="10" t="s">
        <v>247</v>
      </c>
      <c r="R13" s="29" t="s">
        <v>233</v>
      </c>
      <c r="S13" s="17" t="s">
        <v>234</v>
      </c>
      <c r="T13" s="18" t="s">
        <v>235</v>
      </c>
      <c r="U13" s="17" t="s">
        <v>234</v>
      </c>
      <c r="V13" s="18" t="s">
        <v>235</v>
      </c>
    </row>
    <row r="14" customFormat="false" ht="54" hidden="false" customHeight="true" outlineLevel="0" collapsed="false">
      <c r="A14" s="10" t="n">
        <v>2</v>
      </c>
      <c r="B14" s="15" t="s">
        <v>252</v>
      </c>
      <c r="C14" s="30" t="s">
        <v>253</v>
      </c>
      <c r="D14" s="5" t="n">
        <v>2.5</v>
      </c>
      <c r="E14" s="23" t="s">
        <v>30</v>
      </c>
      <c r="F14" s="15" t="s">
        <v>69</v>
      </c>
      <c r="G14" s="15" t="s">
        <v>254</v>
      </c>
      <c r="H14" s="15" t="s">
        <v>255</v>
      </c>
      <c r="I14" s="15" t="s">
        <v>276</v>
      </c>
      <c r="J14" s="15" t="s">
        <v>257</v>
      </c>
      <c r="K14" s="15" t="s">
        <v>277</v>
      </c>
      <c r="L14" s="15" t="s">
        <v>66</v>
      </c>
      <c r="M14" s="24" t="s">
        <v>67</v>
      </c>
      <c r="N14" s="15" t="s">
        <v>269</v>
      </c>
      <c r="O14" s="24" t="s">
        <v>72</v>
      </c>
      <c r="P14" s="15" t="s">
        <v>231</v>
      </c>
      <c r="Q14" s="10" t="s">
        <v>259</v>
      </c>
      <c r="R14" s="29" t="s">
        <v>233</v>
      </c>
      <c r="S14" s="17" t="s">
        <v>234</v>
      </c>
      <c r="T14" s="17" t="s">
        <v>234</v>
      </c>
      <c r="U14" s="17" t="s">
        <v>234</v>
      </c>
      <c r="V14" s="17" t="s">
        <v>234</v>
      </c>
    </row>
    <row r="15" customFormat="false" ht="31.5" hidden="false" customHeight="true" outlineLevel="0" collapsed="false">
      <c r="A15" s="10" t="n">
        <v>2</v>
      </c>
      <c r="B15" s="15" t="s">
        <v>260</v>
      </c>
      <c r="C15" s="28" t="s">
        <v>261</v>
      </c>
      <c r="D15" s="10" t="n">
        <v>0</v>
      </c>
      <c r="E15" s="23" t="s">
        <v>30</v>
      </c>
      <c r="F15" s="15" t="s">
        <v>69</v>
      </c>
      <c r="G15" s="15" t="s">
        <v>262</v>
      </c>
      <c r="H15" s="15" t="s">
        <v>263</v>
      </c>
      <c r="I15" s="15" t="s">
        <v>264</v>
      </c>
      <c r="J15" s="15" t="s">
        <v>265</v>
      </c>
      <c r="K15" s="15" t="s">
        <v>266</v>
      </c>
      <c r="L15" s="15"/>
      <c r="M15" s="15"/>
      <c r="N15" s="15"/>
      <c r="O15" s="15"/>
      <c r="P15" s="15"/>
      <c r="Q15" s="31" t="s">
        <v>261</v>
      </c>
      <c r="R15" s="31" t="s">
        <v>235</v>
      </c>
      <c r="S15" s="18" t="s">
        <v>235</v>
      </c>
      <c r="T15" s="18" t="s">
        <v>235</v>
      </c>
      <c r="U15" s="18" t="s">
        <v>235</v>
      </c>
      <c r="V15" s="18" t="s">
        <v>235</v>
      </c>
    </row>
    <row r="16" customFormat="false" ht="57.75" hidden="false" customHeight="true" outlineLevel="0" collapsed="false">
      <c r="A16" s="10" t="n">
        <v>3</v>
      </c>
      <c r="B16" s="15" t="s">
        <v>224</v>
      </c>
      <c r="C16" s="12" t="s">
        <v>225</v>
      </c>
      <c r="D16" s="5" t="n">
        <v>2.5</v>
      </c>
      <c r="E16" s="23" t="s">
        <v>30</v>
      </c>
      <c r="F16" s="15" t="s">
        <v>73</v>
      </c>
      <c r="G16" s="15" t="s">
        <v>226</v>
      </c>
      <c r="H16" s="15" t="s">
        <v>227</v>
      </c>
      <c r="I16" s="15" t="s">
        <v>278</v>
      </c>
      <c r="J16" s="15" t="s">
        <v>75</v>
      </c>
      <c r="K16" s="15" t="s">
        <v>279</v>
      </c>
      <c r="L16" s="15" t="s">
        <v>76</v>
      </c>
      <c r="M16" s="24" t="s">
        <v>77</v>
      </c>
      <c r="N16" s="15" t="s">
        <v>280</v>
      </c>
      <c r="O16" s="24" t="s">
        <v>78</v>
      </c>
      <c r="P16" s="15" t="s">
        <v>231</v>
      </c>
      <c r="Q16" s="10" t="s">
        <v>239</v>
      </c>
      <c r="R16" s="29" t="s">
        <v>233</v>
      </c>
      <c r="S16" s="17" t="s">
        <v>234</v>
      </c>
      <c r="T16" s="17" t="s">
        <v>234</v>
      </c>
      <c r="U16" s="18" t="s">
        <v>235</v>
      </c>
      <c r="V16" s="18" t="s">
        <v>235</v>
      </c>
    </row>
    <row r="17" customFormat="false" ht="57.75" hidden="false" customHeight="true" outlineLevel="0" collapsed="false">
      <c r="A17" s="10" t="n">
        <v>3</v>
      </c>
      <c r="B17" s="15" t="s">
        <v>236</v>
      </c>
      <c r="C17" s="12" t="s">
        <v>225</v>
      </c>
      <c r="D17" s="5" t="n">
        <v>2.5</v>
      </c>
      <c r="E17" s="23" t="s">
        <v>30</v>
      </c>
      <c r="F17" s="15" t="s">
        <v>73</v>
      </c>
      <c r="G17" s="15" t="s">
        <v>237</v>
      </c>
      <c r="H17" s="15" t="s">
        <v>227</v>
      </c>
      <c r="I17" s="15" t="s">
        <v>281</v>
      </c>
      <c r="J17" s="15" t="s">
        <v>75</v>
      </c>
      <c r="K17" s="15" t="s">
        <v>279</v>
      </c>
      <c r="L17" s="15" t="s">
        <v>76</v>
      </c>
      <c r="M17" s="24" t="s">
        <v>77</v>
      </c>
      <c r="N17" s="15" t="s">
        <v>280</v>
      </c>
      <c r="O17" s="24" t="s">
        <v>78</v>
      </c>
      <c r="P17" s="15" t="s">
        <v>231</v>
      </c>
      <c r="Q17" s="10" t="s">
        <v>239</v>
      </c>
      <c r="R17" s="32" t="s">
        <v>274</v>
      </c>
      <c r="S17" s="17" t="s">
        <v>234</v>
      </c>
      <c r="T17" s="17" t="s">
        <v>234</v>
      </c>
      <c r="U17" s="18" t="s">
        <v>235</v>
      </c>
      <c r="V17" s="18" t="s">
        <v>235</v>
      </c>
    </row>
    <row r="18" customFormat="false" ht="57.75" hidden="false" customHeight="true" outlineLevel="0" collapsed="false">
      <c r="A18" s="10" t="n">
        <v>3</v>
      </c>
      <c r="B18" s="15" t="s">
        <v>240</v>
      </c>
      <c r="C18" s="12" t="s">
        <v>225</v>
      </c>
      <c r="D18" s="5" t="n">
        <v>2.5</v>
      </c>
      <c r="E18" s="23" t="s">
        <v>30</v>
      </c>
      <c r="F18" s="15" t="s">
        <v>73</v>
      </c>
      <c r="G18" s="15" t="s">
        <v>241</v>
      </c>
      <c r="H18" s="15" t="s">
        <v>227</v>
      </c>
      <c r="I18" s="15" t="s">
        <v>282</v>
      </c>
      <c r="J18" s="15" t="s">
        <v>75</v>
      </c>
      <c r="K18" s="15" t="s">
        <v>279</v>
      </c>
      <c r="L18" s="15" t="s">
        <v>76</v>
      </c>
      <c r="M18" s="24" t="s">
        <v>77</v>
      </c>
      <c r="N18" s="15" t="s">
        <v>280</v>
      </c>
      <c r="O18" s="24" t="s">
        <v>78</v>
      </c>
      <c r="P18" s="15" t="s">
        <v>231</v>
      </c>
      <c r="Q18" s="10" t="s">
        <v>247</v>
      </c>
      <c r="R18" s="29" t="s">
        <v>233</v>
      </c>
      <c r="S18" s="17" t="s">
        <v>234</v>
      </c>
      <c r="T18" s="18" t="s">
        <v>235</v>
      </c>
      <c r="U18" s="17" t="s">
        <v>234</v>
      </c>
      <c r="V18" s="18" t="s">
        <v>235</v>
      </c>
    </row>
    <row r="19" customFormat="false" ht="57.75" hidden="false" customHeight="true" outlineLevel="0" collapsed="false">
      <c r="A19" s="10" t="n">
        <v>3</v>
      </c>
      <c r="B19" s="15" t="s">
        <v>244</v>
      </c>
      <c r="C19" s="12" t="s">
        <v>225</v>
      </c>
      <c r="D19" s="5" t="n">
        <v>2.5</v>
      </c>
      <c r="E19" s="23" t="s">
        <v>30</v>
      </c>
      <c r="F19" s="15" t="s">
        <v>73</v>
      </c>
      <c r="G19" s="15" t="s">
        <v>245</v>
      </c>
      <c r="H19" s="15" t="s">
        <v>227</v>
      </c>
      <c r="I19" s="15" t="s">
        <v>283</v>
      </c>
      <c r="J19" s="15" t="s">
        <v>75</v>
      </c>
      <c r="K19" s="15" t="s">
        <v>279</v>
      </c>
      <c r="L19" s="15" t="s">
        <v>76</v>
      </c>
      <c r="M19" s="24" t="s">
        <v>77</v>
      </c>
      <c r="N19" s="15" t="s">
        <v>280</v>
      </c>
      <c r="O19" s="24" t="s">
        <v>78</v>
      </c>
      <c r="P19" s="15" t="s">
        <v>231</v>
      </c>
      <c r="Q19" s="10" t="s">
        <v>247</v>
      </c>
      <c r="R19" s="29" t="s">
        <v>233</v>
      </c>
      <c r="S19" s="17" t="s">
        <v>234</v>
      </c>
      <c r="T19" s="18" t="s">
        <v>235</v>
      </c>
      <c r="U19" s="17" t="s">
        <v>234</v>
      </c>
      <c r="V19" s="18" t="s">
        <v>235</v>
      </c>
    </row>
    <row r="20" customFormat="false" ht="57.75" hidden="false" customHeight="true" outlineLevel="0" collapsed="false">
      <c r="A20" s="10" t="n">
        <v>3</v>
      </c>
      <c r="B20" s="15" t="s">
        <v>248</v>
      </c>
      <c r="C20" s="12" t="s">
        <v>225</v>
      </c>
      <c r="D20" s="5" t="n">
        <v>2.5</v>
      </c>
      <c r="E20" s="23" t="s">
        <v>30</v>
      </c>
      <c r="F20" s="15" t="s">
        <v>73</v>
      </c>
      <c r="G20" s="15" t="s">
        <v>249</v>
      </c>
      <c r="H20" s="15" t="s">
        <v>227</v>
      </c>
      <c r="I20" s="15" t="s">
        <v>284</v>
      </c>
      <c r="J20" s="15" t="s">
        <v>74</v>
      </c>
      <c r="K20" s="15" t="s">
        <v>251</v>
      </c>
      <c r="L20" s="15" t="s">
        <v>76</v>
      </c>
      <c r="M20" s="24" t="s">
        <v>77</v>
      </c>
      <c r="N20" s="15" t="s">
        <v>280</v>
      </c>
      <c r="O20" s="24" t="s">
        <v>78</v>
      </c>
      <c r="P20" s="15" t="s">
        <v>231</v>
      </c>
      <c r="Q20" s="10" t="s">
        <v>285</v>
      </c>
      <c r="R20" s="29" t="s">
        <v>233</v>
      </c>
      <c r="S20" s="17" t="s">
        <v>234</v>
      </c>
      <c r="T20" s="18" t="s">
        <v>235</v>
      </c>
      <c r="U20" s="17" t="s">
        <v>234</v>
      </c>
      <c r="V20" s="17" t="s">
        <v>234</v>
      </c>
    </row>
    <row r="21" customFormat="false" ht="54" hidden="false" customHeight="true" outlineLevel="0" collapsed="false">
      <c r="A21" s="10" t="n">
        <v>3</v>
      </c>
      <c r="B21" s="15" t="s">
        <v>252</v>
      </c>
      <c r="C21" s="30" t="s">
        <v>253</v>
      </c>
      <c r="D21" s="5" t="n">
        <v>2.5</v>
      </c>
      <c r="E21" s="23" t="s">
        <v>30</v>
      </c>
      <c r="F21" s="15" t="s">
        <v>73</v>
      </c>
      <c r="G21" s="15" t="s">
        <v>254</v>
      </c>
      <c r="H21" s="15" t="s">
        <v>255</v>
      </c>
      <c r="I21" s="15" t="s">
        <v>286</v>
      </c>
      <c r="J21" s="15" t="s">
        <v>257</v>
      </c>
      <c r="K21" s="15" t="s">
        <v>287</v>
      </c>
      <c r="L21" s="15" t="s">
        <v>76</v>
      </c>
      <c r="M21" s="24" t="s">
        <v>77</v>
      </c>
      <c r="N21" s="15" t="s">
        <v>280</v>
      </c>
      <c r="O21" s="24" t="s">
        <v>78</v>
      </c>
      <c r="P21" s="15" t="s">
        <v>231</v>
      </c>
      <c r="Q21" s="10" t="s">
        <v>259</v>
      </c>
      <c r="R21" s="32" t="s">
        <v>274</v>
      </c>
      <c r="S21" s="17" t="s">
        <v>234</v>
      </c>
      <c r="T21" s="17" t="s">
        <v>234</v>
      </c>
      <c r="U21" s="17" t="s">
        <v>234</v>
      </c>
      <c r="V21" s="17" t="s">
        <v>234</v>
      </c>
    </row>
    <row r="22" customFormat="false" ht="31.5" hidden="false" customHeight="true" outlineLevel="0" collapsed="false">
      <c r="A22" s="10" t="n">
        <v>3</v>
      </c>
      <c r="B22" s="15" t="s">
        <v>260</v>
      </c>
      <c r="C22" s="28" t="s">
        <v>261</v>
      </c>
      <c r="D22" s="10" t="n">
        <v>0</v>
      </c>
      <c r="E22" s="23" t="s">
        <v>30</v>
      </c>
      <c r="F22" s="15" t="s">
        <v>73</v>
      </c>
      <c r="G22" s="15" t="s">
        <v>262</v>
      </c>
      <c r="H22" s="15" t="s">
        <v>263</v>
      </c>
      <c r="I22" s="15" t="s">
        <v>264</v>
      </c>
      <c r="J22" s="15" t="s">
        <v>265</v>
      </c>
      <c r="K22" s="15" t="s">
        <v>266</v>
      </c>
      <c r="L22" s="15"/>
      <c r="M22" s="15"/>
      <c r="N22" s="15"/>
      <c r="O22" s="15"/>
      <c r="P22" s="15"/>
      <c r="Q22" s="31" t="s">
        <v>261</v>
      </c>
      <c r="R22" s="31" t="s">
        <v>235</v>
      </c>
      <c r="S22" s="18" t="s">
        <v>235</v>
      </c>
      <c r="T22" s="18" t="s">
        <v>235</v>
      </c>
      <c r="U22" s="18" t="s">
        <v>235</v>
      </c>
      <c r="V22" s="18" t="s">
        <v>235</v>
      </c>
    </row>
    <row r="23" customFormat="false" ht="57.75" hidden="false" customHeight="true" outlineLevel="0" collapsed="false">
      <c r="A23" s="10" t="n">
        <v>4</v>
      </c>
      <c r="B23" s="15" t="s">
        <v>224</v>
      </c>
      <c r="C23" s="12" t="s">
        <v>225</v>
      </c>
      <c r="D23" s="5" t="n">
        <v>2.5</v>
      </c>
      <c r="E23" s="23" t="s">
        <v>30</v>
      </c>
      <c r="F23" s="15" t="s">
        <v>79</v>
      </c>
      <c r="G23" s="15" t="s">
        <v>226</v>
      </c>
      <c r="H23" s="15" t="s">
        <v>227</v>
      </c>
      <c r="I23" s="15" t="s">
        <v>288</v>
      </c>
      <c r="J23" s="15" t="s">
        <v>81</v>
      </c>
      <c r="K23" s="15" t="s">
        <v>289</v>
      </c>
      <c r="L23" s="15" t="s">
        <v>76</v>
      </c>
      <c r="M23" s="24" t="s">
        <v>77</v>
      </c>
      <c r="N23" s="15" t="s">
        <v>290</v>
      </c>
      <c r="O23" s="24" t="s">
        <v>82</v>
      </c>
      <c r="P23" s="15" t="s">
        <v>231</v>
      </c>
      <c r="Q23" s="10" t="s">
        <v>239</v>
      </c>
      <c r="R23" s="29" t="s">
        <v>233</v>
      </c>
      <c r="S23" s="17" t="s">
        <v>234</v>
      </c>
      <c r="T23" s="17" t="s">
        <v>234</v>
      </c>
      <c r="U23" s="18" t="s">
        <v>235</v>
      </c>
      <c r="V23" s="18" t="s">
        <v>235</v>
      </c>
    </row>
    <row r="24" customFormat="false" ht="57.75" hidden="false" customHeight="true" outlineLevel="0" collapsed="false">
      <c r="A24" s="10" t="n">
        <v>4</v>
      </c>
      <c r="B24" s="15" t="s">
        <v>236</v>
      </c>
      <c r="C24" s="12" t="s">
        <v>225</v>
      </c>
      <c r="D24" s="5" t="n">
        <v>2.5</v>
      </c>
      <c r="E24" s="23" t="s">
        <v>30</v>
      </c>
      <c r="F24" s="15" t="s">
        <v>79</v>
      </c>
      <c r="G24" s="15" t="s">
        <v>237</v>
      </c>
      <c r="H24" s="15" t="s">
        <v>227</v>
      </c>
      <c r="I24" s="15" t="s">
        <v>291</v>
      </c>
      <c r="J24" s="15" t="s">
        <v>81</v>
      </c>
      <c r="K24" s="15" t="s">
        <v>289</v>
      </c>
      <c r="L24" s="15" t="s">
        <v>76</v>
      </c>
      <c r="M24" s="24" t="s">
        <v>77</v>
      </c>
      <c r="N24" s="15" t="s">
        <v>290</v>
      </c>
      <c r="O24" s="24" t="s">
        <v>82</v>
      </c>
      <c r="P24" s="15" t="s">
        <v>231</v>
      </c>
      <c r="Q24" s="10" t="s">
        <v>239</v>
      </c>
      <c r="R24" s="29" t="s">
        <v>233</v>
      </c>
      <c r="S24" s="17" t="s">
        <v>234</v>
      </c>
      <c r="T24" s="17" t="s">
        <v>234</v>
      </c>
      <c r="U24" s="18" t="s">
        <v>235</v>
      </c>
      <c r="V24" s="18" t="s">
        <v>235</v>
      </c>
    </row>
    <row r="25" customFormat="false" ht="57.75" hidden="false" customHeight="true" outlineLevel="0" collapsed="false">
      <c r="A25" s="10" t="n">
        <v>4</v>
      </c>
      <c r="B25" s="15" t="s">
        <v>240</v>
      </c>
      <c r="C25" s="12" t="s">
        <v>225</v>
      </c>
      <c r="D25" s="5" t="n">
        <v>2.5</v>
      </c>
      <c r="E25" s="23" t="s">
        <v>30</v>
      </c>
      <c r="F25" s="15" t="s">
        <v>79</v>
      </c>
      <c r="G25" s="15" t="s">
        <v>241</v>
      </c>
      <c r="H25" s="15" t="s">
        <v>227</v>
      </c>
      <c r="I25" s="15" t="s">
        <v>292</v>
      </c>
      <c r="J25" s="15" t="s">
        <v>81</v>
      </c>
      <c r="K25" s="15" t="s">
        <v>289</v>
      </c>
      <c r="L25" s="15" t="s">
        <v>76</v>
      </c>
      <c r="M25" s="24" t="s">
        <v>77</v>
      </c>
      <c r="N25" s="15" t="s">
        <v>290</v>
      </c>
      <c r="O25" s="24" t="s">
        <v>82</v>
      </c>
      <c r="P25" s="15" t="s">
        <v>231</v>
      </c>
      <c r="Q25" s="10" t="s">
        <v>247</v>
      </c>
      <c r="R25" s="29" t="s">
        <v>233</v>
      </c>
      <c r="S25" s="17" t="s">
        <v>234</v>
      </c>
      <c r="T25" s="18" t="s">
        <v>235</v>
      </c>
      <c r="U25" s="17" t="s">
        <v>234</v>
      </c>
      <c r="V25" s="18" t="s">
        <v>235</v>
      </c>
    </row>
    <row r="26" customFormat="false" ht="57.75" hidden="false" customHeight="true" outlineLevel="0" collapsed="false">
      <c r="A26" s="10" t="n">
        <v>4</v>
      </c>
      <c r="B26" s="15" t="s">
        <v>244</v>
      </c>
      <c r="C26" s="12" t="s">
        <v>225</v>
      </c>
      <c r="D26" s="5" t="n">
        <v>2.5</v>
      </c>
      <c r="E26" s="23" t="s">
        <v>30</v>
      </c>
      <c r="F26" s="15" t="s">
        <v>79</v>
      </c>
      <c r="G26" s="15" t="s">
        <v>245</v>
      </c>
      <c r="H26" s="15" t="s">
        <v>227</v>
      </c>
      <c r="I26" s="15" t="s">
        <v>293</v>
      </c>
      <c r="J26" s="15" t="s">
        <v>81</v>
      </c>
      <c r="K26" s="15" t="s">
        <v>289</v>
      </c>
      <c r="L26" s="15" t="s">
        <v>76</v>
      </c>
      <c r="M26" s="24" t="s">
        <v>77</v>
      </c>
      <c r="N26" s="15" t="s">
        <v>290</v>
      </c>
      <c r="O26" s="24" t="s">
        <v>82</v>
      </c>
      <c r="P26" s="15" t="s">
        <v>231</v>
      </c>
      <c r="Q26" s="10" t="s">
        <v>220</v>
      </c>
      <c r="R26" s="29" t="s">
        <v>233</v>
      </c>
      <c r="S26" s="17" t="s">
        <v>234</v>
      </c>
      <c r="T26" s="18" t="s">
        <v>235</v>
      </c>
      <c r="U26" s="18" t="s">
        <v>235</v>
      </c>
      <c r="V26" s="18" t="s">
        <v>235</v>
      </c>
    </row>
    <row r="27" customFormat="false" ht="57.75" hidden="false" customHeight="true" outlineLevel="0" collapsed="false">
      <c r="A27" s="10" t="n">
        <v>4</v>
      </c>
      <c r="B27" s="15" t="s">
        <v>248</v>
      </c>
      <c r="C27" s="12" t="s">
        <v>225</v>
      </c>
      <c r="D27" s="5" t="n">
        <v>2.5</v>
      </c>
      <c r="E27" s="23" t="s">
        <v>30</v>
      </c>
      <c r="F27" s="15" t="s">
        <v>79</v>
      </c>
      <c r="G27" s="15" t="s">
        <v>249</v>
      </c>
      <c r="H27" s="15" t="s">
        <v>227</v>
      </c>
      <c r="I27" s="15" t="s">
        <v>294</v>
      </c>
      <c r="J27" s="15" t="s">
        <v>80</v>
      </c>
      <c r="K27" s="15" t="s">
        <v>251</v>
      </c>
      <c r="L27" s="15" t="s">
        <v>76</v>
      </c>
      <c r="M27" s="24" t="s">
        <v>77</v>
      </c>
      <c r="N27" s="15" t="s">
        <v>290</v>
      </c>
      <c r="O27" s="24" t="s">
        <v>82</v>
      </c>
      <c r="P27" s="15" t="s">
        <v>231</v>
      </c>
      <c r="Q27" s="10" t="s">
        <v>232</v>
      </c>
      <c r="R27" s="29" t="s">
        <v>233</v>
      </c>
      <c r="S27" s="17" t="s">
        <v>234</v>
      </c>
      <c r="T27" s="18" t="s">
        <v>235</v>
      </c>
      <c r="U27" s="18" t="s">
        <v>235</v>
      </c>
      <c r="V27" s="17" t="s">
        <v>234</v>
      </c>
    </row>
    <row r="28" customFormat="false" ht="54" hidden="false" customHeight="true" outlineLevel="0" collapsed="false">
      <c r="A28" s="10" t="n">
        <v>4</v>
      </c>
      <c r="B28" s="15" t="s">
        <v>252</v>
      </c>
      <c r="C28" s="30" t="s">
        <v>253</v>
      </c>
      <c r="D28" s="5" t="n">
        <v>2.5</v>
      </c>
      <c r="E28" s="23" t="s">
        <v>30</v>
      </c>
      <c r="F28" s="15" t="s">
        <v>79</v>
      </c>
      <c r="G28" s="15" t="s">
        <v>254</v>
      </c>
      <c r="H28" s="15" t="s">
        <v>255</v>
      </c>
      <c r="I28" s="15" t="s">
        <v>295</v>
      </c>
      <c r="J28" s="15" t="s">
        <v>257</v>
      </c>
      <c r="K28" s="15" t="s">
        <v>296</v>
      </c>
      <c r="L28" s="15" t="s">
        <v>76</v>
      </c>
      <c r="M28" s="24" t="s">
        <v>77</v>
      </c>
      <c r="N28" s="15" t="s">
        <v>290</v>
      </c>
      <c r="O28" s="24" t="s">
        <v>82</v>
      </c>
      <c r="P28" s="15" t="s">
        <v>231</v>
      </c>
      <c r="Q28" s="10" t="s">
        <v>259</v>
      </c>
      <c r="R28" s="29" t="s">
        <v>233</v>
      </c>
      <c r="S28" s="17" t="s">
        <v>234</v>
      </c>
      <c r="T28" s="17" t="s">
        <v>234</v>
      </c>
      <c r="U28" s="17" t="s">
        <v>234</v>
      </c>
      <c r="V28" s="17" t="s">
        <v>234</v>
      </c>
    </row>
    <row r="29" customFormat="false" ht="31.5" hidden="false" customHeight="true" outlineLevel="0" collapsed="false">
      <c r="A29" s="10" t="n">
        <v>4</v>
      </c>
      <c r="B29" s="15" t="s">
        <v>260</v>
      </c>
      <c r="C29" s="28" t="s">
        <v>261</v>
      </c>
      <c r="D29" s="10" t="n">
        <v>0</v>
      </c>
      <c r="E29" s="23" t="s">
        <v>30</v>
      </c>
      <c r="F29" s="15" t="s">
        <v>79</v>
      </c>
      <c r="G29" s="15" t="s">
        <v>262</v>
      </c>
      <c r="H29" s="15" t="s">
        <v>263</v>
      </c>
      <c r="I29" s="15" t="s">
        <v>264</v>
      </c>
      <c r="J29" s="15" t="s">
        <v>265</v>
      </c>
      <c r="K29" s="15" t="s">
        <v>266</v>
      </c>
      <c r="L29" s="15"/>
      <c r="M29" s="15"/>
      <c r="N29" s="15"/>
      <c r="O29" s="15"/>
      <c r="P29" s="15"/>
      <c r="Q29" s="31" t="s">
        <v>261</v>
      </c>
      <c r="R29" s="31" t="s">
        <v>235</v>
      </c>
      <c r="S29" s="18" t="s">
        <v>235</v>
      </c>
      <c r="T29" s="18" t="s">
        <v>235</v>
      </c>
      <c r="U29" s="18" t="s">
        <v>235</v>
      </c>
      <c r="V29" s="18" t="s">
        <v>235</v>
      </c>
    </row>
    <row r="30" customFormat="false" ht="57.75" hidden="false" customHeight="true" outlineLevel="0" collapsed="false">
      <c r="A30" s="10" t="n">
        <v>5</v>
      </c>
      <c r="B30" s="15" t="s">
        <v>224</v>
      </c>
      <c r="C30" s="12" t="s">
        <v>225</v>
      </c>
      <c r="D30" s="5" t="n">
        <v>2.5</v>
      </c>
      <c r="E30" s="23" t="s">
        <v>30</v>
      </c>
      <c r="F30" s="15" t="s">
        <v>83</v>
      </c>
      <c r="G30" s="15" t="s">
        <v>226</v>
      </c>
      <c r="H30" s="15" t="s">
        <v>227</v>
      </c>
      <c r="I30" s="15" t="s">
        <v>297</v>
      </c>
      <c r="J30" s="15" t="s">
        <v>85</v>
      </c>
      <c r="K30" s="15" t="s">
        <v>298</v>
      </c>
      <c r="L30" s="15" t="s">
        <v>86</v>
      </c>
      <c r="M30" s="24" t="s">
        <v>78</v>
      </c>
      <c r="N30" s="15" t="s">
        <v>299</v>
      </c>
      <c r="O30" s="24" t="s">
        <v>72</v>
      </c>
      <c r="P30" s="15" t="s">
        <v>231</v>
      </c>
      <c r="Q30" s="10" t="s">
        <v>300</v>
      </c>
      <c r="R30" s="29" t="s">
        <v>233</v>
      </c>
      <c r="S30" s="18" t="s">
        <v>235</v>
      </c>
      <c r="T30" s="17" t="s">
        <v>234</v>
      </c>
      <c r="U30" s="17" t="s">
        <v>234</v>
      </c>
      <c r="V30" s="18" t="s">
        <v>235</v>
      </c>
    </row>
    <row r="31" customFormat="false" ht="57.75" hidden="false" customHeight="true" outlineLevel="0" collapsed="false">
      <c r="A31" s="10" t="n">
        <v>5</v>
      </c>
      <c r="B31" s="15" t="s">
        <v>236</v>
      </c>
      <c r="C31" s="12" t="s">
        <v>225</v>
      </c>
      <c r="D31" s="5" t="n">
        <v>2.5</v>
      </c>
      <c r="E31" s="23" t="s">
        <v>30</v>
      </c>
      <c r="F31" s="15" t="s">
        <v>83</v>
      </c>
      <c r="G31" s="15" t="s">
        <v>237</v>
      </c>
      <c r="H31" s="15" t="s">
        <v>227</v>
      </c>
      <c r="I31" s="15" t="s">
        <v>301</v>
      </c>
      <c r="J31" s="15" t="s">
        <v>85</v>
      </c>
      <c r="K31" s="15" t="s">
        <v>298</v>
      </c>
      <c r="L31" s="15" t="s">
        <v>86</v>
      </c>
      <c r="M31" s="24" t="s">
        <v>78</v>
      </c>
      <c r="N31" s="15" t="s">
        <v>299</v>
      </c>
      <c r="O31" s="24" t="s">
        <v>72</v>
      </c>
      <c r="P31" s="15" t="s">
        <v>231</v>
      </c>
      <c r="Q31" s="10" t="s">
        <v>300</v>
      </c>
      <c r="R31" s="32" t="s">
        <v>274</v>
      </c>
      <c r="S31" s="18" t="s">
        <v>235</v>
      </c>
      <c r="T31" s="17" t="s">
        <v>234</v>
      </c>
      <c r="U31" s="17" t="s">
        <v>234</v>
      </c>
      <c r="V31" s="18" t="s">
        <v>235</v>
      </c>
    </row>
    <row r="32" customFormat="false" ht="57.75" hidden="false" customHeight="true" outlineLevel="0" collapsed="false">
      <c r="A32" s="10" t="n">
        <v>5</v>
      </c>
      <c r="B32" s="15" t="s">
        <v>240</v>
      </c>
      <c r="C32" s="12" t="s">
        <v>225</v>
      </c>
      <c r="D32" s="5" t="n">
        <v>2.5</v>
      </c>
      <c r="E32" s="23" t="s">
        <v>30</v>
      </c>
      <c r="F32" s="15" t="s">
        <v>83</v>
      </c>
      <c r="G32" s="15" t="s">
        <v>241</v>
      </c>
      <c r="H32" s="15" t="s">
        <v>227</v>
      </c>
      <c r="I32" s="15" t="s">
        <v>302</v>
      </c>
      <c r="J32" s="15" t="s">
        <v>85</v>
      </c>
      <c r="K32" s="15" t="s">
        <v>298</v>
      </c>
      <c r="L32" s="15" t="s">
        <v>86</v>
      </c>
      <c r="M32" s="24" t="s">
        <v>78</v>
      </c>
      <c r="N32" s="15" t="s">
        <v>299</v>
      </c>
      <c r="O32" s="24" t="s">
        <v>72</v>
      </c>
      <c r="P32" s="15" t="s">
        <v>231</v>
      </c>
      <c r="Q32" s="10" t="s">
        <v>221</v>
      </c>
      <c r="R32" s="29" t="s">
        <v>233</v>
      </c>
      <c r="S32" s="18" t="s">
        <v>235</v>
      </c>
      <c r="T32" s="17" t="s">
        <v>234</v>
      </c>
      <c r="U32" s="18" t="s">
        <v>235</v>
      </c>
      <c r="V32" s="18" t="s">
        <v>235</v>
      </c>
    </row>
    <row r="33" customFormat="false" ht="57.75" hidden="false" customHeight="true" outlineLevel="0" collapsed="false">
      <c r="A33" s="10" t="n">
        <v>5</v>
      </c>
      <c r="B33" s="15" t="s">
        <v>244</v>
      </c>
      <c r="C33" s="12" t="s">
        <v>225</v>
      </c>
      <c r="D33" s="5" t="n">
        <v>2.5</v>
      </c>
      <c r="E33" s="23" t="s">
        <v>30</v>
      </c>
      <c r="F33" s="15" t="s">
        <v>83</v>
      </c>
      <c r="G33" s="15" t="s">
        <v>245</v>
      </c>
      <c r="H33" s="15" t="s">
        <v>227</v>
      </c>
      <c r="I33" s="15" t="s">
        <v>303</v>
      </c>
      <c r="J33" s="15" t="s">
        <v>85</v>
      </c>
      <c r="K33" s="15" t="s">
        <v>298</v>
      </c>
      <c r="L33" s="15" t="s">
        <v>86</v>
      </c>
      <c r="M33" s="24" t="s">
        <v>78</v>
      </c>
      <c r="N33" s="15" t="s">
        <v>299</v>
      </c>
      <c r="O33" s="24" t="s">
        <v>72</v>
      </c>
      <c r="P33" s="15" t="s">
        <v>231</v>
      </c>
      <c r="Q33" s="10" t="s">
        <v>300</v>
      </c>
      <c r="R33" s="32" t="s">
        <v>274</v>
      </c>
      <c r="S33" s="18" t="s">
        <v>235</v>
      </c>
      <c r="T33" s="17" t="s">
        <v>234</v>
      </c>
      <c r="U33" s="17" t="s">
        <v>234</v>
      </c>
      <c r="V33" s="18" t="s">
        <v>235</v>
      </c>
    </row>
    <row r="34" customFormat="false" ht="57.75" hidden="false" customHeight="true" outlineLevel="0" collapsed="false">
      <c r="A34" s="10" t="n">
        <v>5</v>
      </c>
      <c r="B34" s="15" t="s">
        <v>248</v>
      </c>
      <c r="C34" s="12" t="s">
        <v>225</v>
      </c>
      <c r="D34" s="5" t="n">
        <v>2.5</v>
      </c>
      <c r="E34" s="23" t="s">
        <v>30</v>
      </c>
      <c r="F34" s="15" t="s">
        <v>83</v>
      </c>
      <c r="G34" s="15" t="s">
        <v>249</v>
      </c>
      <c r="H34" s="15" t="s">
        <v>227</v>
      </c>
      <c r="I34" s="15" t="s">
        <v>304</v>
      </c>
      <c r="J34" s="15" t="s">
        <v>84</v>
      </c>
      <c r="K34" s="15" t="s">
        <v>251</v>
      </c>
      <c r="L34" s="15" t="s">
        <v>86</v>
      </c>
      <c r="M34" s="24" t="s">
        <v>78</v>
      </c>
      <c r="N34" s="15" t="s">
        <v>299</v>
      </c>
      <c r="O34" s="24" t="s">
        <v>72</v>
      </c>
      <c r="P34" s="15" t="s">
        <v>231</v>
      </c>
      <c r="Q34" s="10" t="s">
        <v>300</v>
      </c>
      <c r="R34" s="29" t="s">
        <v>233</v>
      </c>
      <c r="S34" s="18" t="s">
        <v>235</v>
      </c>
      <c r="T34" s="17" t="s">
        <v>234</v>
      </c>
      <c r="U34" s="17" t="s">
        <v>234</v>
      </c>
      <c r="V34" s="18" t="s">
        <v>235</v>
      </c>
    </row>
    <row r="35" customFormat="false" ht="54" hidden="false" customHeight="true" outlineLevel="0" collapsed="false">
      <c r="A35" s="10" t="n">
        <v>5</v>
      </c>
      <c r="B35" s="15" t="s">
        <v>252</v>
      </c>
      <c r="C35" s="30" t="s">
        <v>253</v>
      </c>
      <c r="D35" s="5" t="n">
        <v>2.5</v>
      </c>
      <c r="E35" s="23" t="s">
        <v>30</v>
      </c>
      <c r="F35" s="15" t="s">
        <v>83</v>
      </c>
      <c r="G35" s="15" t="s">
        <v>254</v>
      </c>
      <c r="H35" s="15" t="s">
        <v>255</v>
      </c>
      <c r="I35" s="15" t="s">
        <v>305</v>
      </c>
      <c r="J35" s="15" t="s">
        <v>257</v>
      </c>
      <c r="K35" s="15" t="s">
        <v>306</v>
      </c>
      <c r="L35" s="15" t="s">
        <v>86</v>
      </c>
      <c r="M35" s="24" t="s">
        <v>78</v>
      </c>
      <c r="N35" s="15" t="s">
        <v>299</v>
      </c>
      <c r="O35" s="24" t="s">
        <v>72</v>
      </c>
      <c r="P35" s="15" t="s">
        <v>231</v>
      </c>
      <c r="Q35" s="10" t="s">
        <v>307</v>
      </c>
      <c r="R35" s="32" t="s">
        <v>274</v>
      </c>
      <c r="S35" s="18" t="s">
        <v>235</v>
      </c>
      <c r="T35" s="17" t="s">
        <v>234</v>
      </c>
      <c r="U35" s="17" t="s">
        <v>234</v>
      </c>
      <c r="V35" s="17" t="s">
        <v>234</v>
      </c>
    </row>
    <row r="36" customFormat="false" ht="31.5" hidden="false" customHeight="true" outlineLevel="0" collapsed="false">
      <c r="A36" s="10" t="n">
        <v>5</v>
      </c>
      <c r="B36" s="15" t="s">
        <v>260</v>
      </c>
      <c r="C36" s="28" t="s">
        <v>261</v>
      </c>
      <c r="D36" s="10" t="n">
        <v>0</v>
      </c>
      <c r="E36" s="23" t="s">
        <v>30</v>
      </c>
      <c r="F36" s="15" t="s">
        <v>83</v>
      </c>
      <c r="G36" s="15" t="s">
        <v>262</v>
      </c>
      <c r="H36" s="15" t="s">
        <v>263</v>
      </c>
      <c r="I36" s="15" t="s">
        <v>264</v>
      </c>
      <c r="J36" s="15" t="s">
        <v>265</v>
      </c>
      <c r="K36" s="15" t="s">
        <v>266</v>
      </c>
      <c r="L36" s="15"/>
      <c r="M36" s="15"/>
      <c r="N36" s="15"/>
      <c r="O36" s="15"/>
      <c r="P36" s="15"/>
      <c r="Q36" s="31" t="s">
        <v>261</v>
      </c>
      <c r="R36" s="31" t="s">
        <v>235</v>
      </c>
      <c r="S36" s="18" t="s">
        <v>235</v>
      </c>
      <c r="T36" s="18" t="s">
        <v>235</v>
      </c>
      <c r="U36" s="18" t="s">
        <v>235</v>
      </c>
      <c r="V36" s="18" t="s">
        <v>235</v>
      </c>
    </row>
    <row r="37" customFormat="false" ht="57.75" hidden="false" customHeight="true" outlineLevel="0" collapsed="false">
      <c r="A37" s="10" t="n">
        <v>6</v>
      </c>
      <c r="B37" s="15" t="s">
        <v>224</v>
      </c>
      <c r="C37" s="12" t="s">
        <v>225</v>
      </c>
      <c r="D37" s="5" t="n">
        <v>2.5</v>
      </c>
      <c r="E37" s="25" t="s">
        <v>34</v>
      </c>
      <c r="F37" s="15" t="s">
        <v>87</v>
      </c>
      <c r="G37" s="15" t="s">
        <v>226</v>
      </c>
      <c r="H37" s="15" t="s">
        <v>227</v>
      </c>
      <c r="I37" s="15" t="s">
        <v>308</v>
      </c>
      <c r="J37" s="15" t="s">
        <v>89</v>
      </c>
      <c r="K37" s="15" t="s">
        <v>309</v>
      </c>
      <c r="L37" s="15" t="s">
        <v>90</v>
      </c>
      <c r="M37" s="24" t="s">
        <v>91</v>
      </c>
      <c r="N37" s="15" t="s">
        <v>310</v>
      </c>
      <c r="O37" s="24" t="s">
        <v>92</v>
      </c>
      <c r="P37" s="15" t="s">
        <v>231</v>
      </c>
      <c r="Q37" s="10" t="s">
        <v>300</v>
      </c>
      <c r="R37" s="29" t="s">
        <v>233</v>
      </c>
      <c r="S37" s="18" t="s">
        <v>235</v>
      </c>
      <c r="T37" s="17" t="s">
        <v>234</v>
      </c>
      <c r="U37" s="17" t="s">
        <v>234</v>
      </c>
      <c r="V37" s="18" t="s">
        <v>235</v>
      </c>
    </row>
    <row r="38" customFormat="false" ht="57.75" hidden="false" customHeight="true" outlineLevel="0" collapsed="false">
      <c r="A38" s="10" t="n">
        <v>6</v>
      </c>
      <c r="B38" s="15" t="s">
        <v>236</v>
      </c>
      <c r="C38" s="12" t="s">
        <v>225</v>
      </c>
      <c r="D38" s="5" t="n">
        <v>2.5</v>
      </c>
      <c r="E38" s="25" t="s">
        <v>34</v>
      </c>
      <c r="F38" s="15" t="s">
        <v>87</v>
      </c>
      <c r="G38" s="15" t="s">
        <v>237</v>
      </c>
      <c r="H38" s="15" t="s">
        <v>227</v>
      </c>
      <c r="I38" s="15" t="s">
        <v>311</v>
      </c>
      <c r="J38" s="15" t="s">
        <v>89</v>
      </c>
      <c r="K38" s="15" t="s">
        <v>309</v>
      </c>
      <c r="L38" s="15" t="s">
        <v>90</v>
      </c>
      <c r="M38" s="24" t="s">
        <v>91</v>
      </c>
      <c r="N38" s="15" t="s">
        <v>310</v>
      </c>
      <c r="O38" s="24" t="s">
        <v>92</v>
      </c>
      <c r="P38" s="15" t="s">
        <v>231</v>
      </c>
      <c r="Q38" s="10" t="s">
        <v>221</v>
      </c>
      <c r="R38" s="32" t="s">
        <v>274</v>
      </c>
      <c r="S38" s="18" t="s">
        <v>235</v>
      </c>
      <c r="T38" s="17" t="s">
        <v>234</v>
      </c>
      <c r="U38" s="18" t="s">
        <v>235</v>
      </c>
      <c r="V38" s="18" t="s">
        <v>235</v>
      </c>
    </row>
    <row r="39" customFormat="false" ht="57.75" hidden="false" customHeight="true" outlineLevel="0" collapsed="false">
      <c r="A39" s="10" t="n">
        <v>6</v>
      </c>
      <c r="B39" s="15" t="s">
        <v>240</v>
      </c>
      <c r="C39" s="12" t="s">
        <v>225</v>
      </c>
      <c r="D39" s="5" t="n">
        <v>2.5</v>
      </c>
      <c r="E39" s="25" t="s">
        <v>34</v>
      </c>
      <c r="F39" s="15" t="s">
        <v>87</v>
      </c>
      <c r="G39" s="15" t="s">
        <v>241</v>
      </c>
      <c r="H39" s="15" t="s">
        <v>227</v>
      </c>
      <c r="I39" s="15" t="s">
        <v>312</v>
      </c>
      <c r="J39" s="15" t="s">
        <v>89</v>
      </c>
      <c r="K39" s="15" t="s">
        <v>309</v>
      </c>
      <c r="L39" s="15" t="s">
        <v>90</v>
      </c>
      <c r="M39" s="24" t="s">
        <v>91</v>
      </c>
      <c r="N39" s="15" t="s">
        <v>310</v>
      </c>
      <c r="O39" s="24" t="s">
        <v>92</v>
      </c>
      <c r="P39" s="15" t="s">
        <v>231</v>
      </c>
      <c r="Q39" s="10" t="s">
        <v>313</v>
      </c>
      <c r="R39" s="29" t="s">
        <v>233</v>
      </c>
      <c r="S39" s="18" t="s">
        <v>235</v>
      </c>
      <c r="T39" s="17" t="s">
        <v>234</v>
      </c>
      <c r="U39" s="17" t="s">
        <v>234</v>
      </c>
      <c r="V39" s="17" t="s">
        <v>234</v>
      </c>
    </row>
    <row r="40" customFormat="false" ht="57.75" hidden="false" customHeight="true" outlineLevel="0" collapsed="false">
      <c r="A40" s="10" t="n">
        <v>6</v>
      </c>
      <c r="B40" s="15" t="s">
        <v>244</v>
      </c>
      <c r="C40" s="12" t="s">
        <v>225</v>
      </c>
      <c r="D40" s="5" t="n">
        <v>2.5</v>
      </c>
      <c r="E40" s="25" t="s">
        <v>34</v>
      </c>
      <c r="F40" s="15" t="s">
        <v>87</v>
      </c>
      <c r="G40" s="15" t="s">
        <v>245</v>
      </c>
      <c r="H40" s="15" t="s">
        <v>227</v>
      </c>
      <c r="I40" s="15" t="s">
        <v>314</v>
      </c>
      <c r="J40" s="15" t="s">
        <v>89</v>
      </c>
      <c r="K40" s="15" t="s">
        <v>309</v>
      </c>
      <c r="L40" s="15" t="s">
        <v>90</v>
      </c>
      <c r="M40" s="24" t="s">
        <v>91</v>
      </c>
      <c r="N40" s="15" t="s">
        <v>310</v>
      </c>
      <c r="O40" s="24" t="s">
        <v>92</v>
      </c>
      <c r="P40" s="15" t="s">
        <v>231</v>
      </c>
      <c r="Q40" s="10" t="s">
        <v>313</v>
      </c>
      <c r="R40" s="32" t="s">
        <v>274</v>
      </c>
      <c r="S40" s="18" t="s">
        <v>235</v>
      </c>
      <c r="T40" s="17" t="s">
        <v>234</v>
      </c>
      <c r="U40" s="17" t="s">
        <v>234</v>
      </c>
      <c r="V40" s="17" t="s">
        <v>234</v>
      </c>
    </row>
    <row r="41" customFormat="false" ht="57.75" hidden="false" customHeight="true" outlineLevel="0" collapsed="false">
      <c r="A41" s="10" t="n">
        <v>6</v>
      </c>
      <c r="B41" s="15" t="s">
        <v>248</v>
      </c>
      <c r="C41" s="12" t="s">
        <v>225</v>
      </c>
      <c r="D41" s="5" t="n">
        <v>2.5</v>
      </c>
      <c r="E41" s="25" t="s">
        <v>34</v>
      </c>
      <c r="F41" s="15" t="s">
        <v>87</v>
      </c>
      <c r="G41" s="15" t="s">
        <v>249</v>
      </c>
      <c r="H41" s="15" t="s">
        <v>227</v>
      </c>
      <c r="I41" s="15" t="s">
        <v>315</v>
      </c>
      <c r="J41" s="15" t="s">
        <v>88</v>
      </c>
      <c r="K41" s="15" t="s">
        <v>251</v>
      </c>
      <c r="L41" s="15" t="s">
        <v>90</v>
      </c>
      <c r="M41" s="24" t="s">
        <v>91</v>
      </c>
      <c r="N41" s="15" t="s">
        <v>310</v>
      </c>
      <c r="O41" s="24" t="s">
        <v>92</v>
      </c>
      <c r="P41" s="15" t="s">
        <v>231</v>
      </c>
      <c r="Q41" s="10" t="s">
        <v>300</v>
      </c>
      <c r="R41" s="29" t="s">
        <v>233</v>
      </c>
      <c r="S41" s="18" t="s">
        <v>235</v>
      </c>
      <c r="T41" s="17" t="s">
        <v>234</v>
      </c>
      <c r="U41" s="17" t="s">
        <v>234</v>
      </c>
      <c r="V41" s="18" t="s">
        <v>235</v>
      </c>
    </row>
    <row r="42" customFormat="false" ht="54" hidden="false" customHeight="true" outlineLevel="0" collapsed="false">
      <c r="A42" s="10" t="n">
        <v>6</v>
      </c>
      <c r="B42" s="15" t="s">
        <v>252</v>
      </c>
      <c r="C42" s="30" t="s">
        <v>253</v>
      </c>
      <c r="D42" s="5" t="n">
        <v>2.5</v>
      </c>
      <c r="E42" s="25" t="s">
        <v>34</v>
      </c>
      <c r="F42" s="15" t="s">
        <v>87</v>
      </c>
      <c r="G42" s="15" t="s">
        <v>254</v>
      </c>
      <c r="H42" s="15" t="s">
        <v>255</v>
      </c>
      <c r="I42" s="15" t="s">
        <v>316</v>
      </c>
      <c r="J42" s="15" t="s">
        <v>257</v>
      </c>
      <c r="K42" s="15" t="s">
        <v>317</v>
      </c>
      <c r="L42" s="15" t="s">
        <v>90</v>
      </c>
      <c r="M42" s="24" t="s">
        <v>91</v>
      </c>
      <c r="N42" s="15" t="s">
        <v>310</v>
      </c>
      <c r="O42" s="24" t="s">
        <v>92</v>
      </c>
      <c r="P42" s="15" t="s">
        <v>231</v>
      </c>
      <c r="Q42" s="10" t="s">
        <v>307</v>
      </c>
      <c r="R42" s="29" t="s">
        <v>233</v>
      </c>
      <c r="S42" s="18" t="s">
        <v>235</v>
      </c>
      <c r="T42" s="17" t="s">
        <v>234</v>
      </c>
      <c r="U42" s="17" t="s">
        <v>234</v>
      </c>
      <c r="V42" s="17" t="s">
        <v>234</v>
      </c>
    </row>
    <row r="43" customFormat="false" ht="31.5" hidden="false" customHeight="true" outlineLevel="0" collapsed="false">
      <c r="A43" s="10" t="n">
        <v>6</v>
      </c>
      <c r="B43" s="15" t="s">
        <v>260</v>
      </c>
      <c r="C43" s="28" t="s">
        <v>261</v>
      </c>
      <c r="D43" s="10" t="n">
        <v>0</v>
      </c>
      <c r="E43" s="25" t="s">
        <v>34</v>
      </c>
      <c r="F43" s="15" t="s">
        <v>87</v>
      </c>
      <c r="G43" s="15" t="s">
        <v>262</v>
      </c>
      <c r="H43" s="15" t="s">
        <v>263</v>
      </c>
      <c r="I43" s="15" t="s">
        <v>264</v>
      </c>
      <c r="J43" s="15" t="s">
        <v>265</v>
      </c>
      <c r="K43" s="15" t="s">
        <v>266</v>
      </c>
      <c r="L43" s="15"/>
      <c r="M43" s="15"/>
      <c r="N43" s="15"/>
      <c r="O43" s="15"/>
      <c r="P43" s="15"/>
      <c r="Q43" s="31" t="s">
        <v>261</v>
      </c>
      <c r="R43" s="31" t="s">
        <v>235</v>
      </c>
      <c r="S43" s="18" t="s">
        <v>235</v>
      </c>
      <c r="T43" s="18" t="s">
        <v>235</v>
      </c>
      <c r="U43" s="18" t="s">
        <v>235</v>
      </c>
      <c r="V43" s="18" t="s">
        <v>235</v>
      </c>
    </row>
    <row r="44" customFormat="false" ht="57.75" hidden="false" customHeight="true" outlineLevel="0" collapsed="false">
      <c r="A44" s="10" t="n">
        <v>7</v>
      </c>
      <c r="B44" s="15" t="s">
        <v>224</v>
      </c>
      <c r="C44" s="12" t="s">
        <v>225</v>
      </c>
      <c r="D44" s="5" t="n">
        <v>2.5</v>
      </c>
      <c r="E44" s="25" t="s">
        <v>34</v>
      </c>
      <c r="F44" s="15" t="s">
        <v>93</v>
      </c>
      <c r="G44" s="15" t="s">
        <v>226</v>
      </c>
      <c r="H44" s="15" t="s">
        <v>227</v>
      </c>
      <c r="I44" s="15" t="s">
        <v>318</v>
      </c>
      <c r="J44" s="15" t="s">
        <v>95</v>
      </c>
      <c r="K44" s="15" t="s">
        <v>319</v>
      </c>
      <c r="L44" s="15" t="s">
        <v>90</v>
      </c>
      <c r="M44" s="24" t="s">
        <v>91</v>
      </c>
      <c r="N44" s="15" t="s">
        <v>320</v>
      </c>
      <c r="O44" s="24" t="s">
        <v>96</v>
      </c>
      <c r="P44" s="15" t="s">
        <v>231</v>
      </c>
      <c r="Q44" s="10" t="s">
        <v>221</v>
      </c>
      <c r="R44" s="29" t="s">
        <v>233</v>
      </c>
      <c r="S44" s="18" t="s">
        <v>235</v>
      </c>
      <c r="T44" s="17" t="s">
        <v>234</v>
      </c>
      <c r="U44" s="18" t="s">
        <v>235</v>
      </c>
      <c r="V44" s="18" t="s">
        <v>235</v>
      </c>
    </row>
    <row r="45" customFormat="false" ht="57.75" hidden="false" customHeight="true" outlineLevel="0" collapsed="false">
      <c r="A45" s="10" t="n">
        <v>7</v>
      </c>
      <c r="B45" s="15" t="s">
        <v>236</v>
      </c>
      <c r="C45" s="12" t="s">
        <v>225</v>
      </c>
      <c r="D45" s="5" t="n">
        <v>2.5</v>
      </c>
      <c r="E45" s="25" t="s">
        <v>34</v>
      </c>
      <c r="F45" s="15" t="s">
        <v>93</v>
      </c>
      <c r="G45" s="15" t="s">
        <v>237</v>
      </c>
      <c r="H45" s="15" t="s">
        <v>227</v>
      </c>
      <c r="I45" s="15" t="s">
        <v>321</v>
      </c>
      <c r="J45" s="15" t="s">
        <v>95</v>
      </c>
      <c r="K45" s="15" t="s">
        <v>319</v>
      </c>
      <c r="L45" s="15" t="s">
        <v>90</v>
      </c>
      <c r="M45" s="24" t="s">
        <v>91</v>
      </c>
      <c r="N45" s="15" t="s">
        <v>320</v>
      </c>
      <c r="O45" s="24" t="s">
        <v>96</v>
      </c>
      <c r="P45" s="15" t="s">
        <v>231</v>
      </c>
      <c r="Q45" s="10" t="s">
        <v>221</v>
      </c>
      <c r="R45" s="29" t="s">
        <v>233</v>
      </c>
      <c r="S45" s="18" t="s">
        <v>235</v>
      </c>
      <c r="T45" s="17" t="s">
        <v>234</v>
      </c>
      <c r="U45" s="18" t="s">
        <v>235</v>
      </c>
      <c r="V45" s="18" t="s">
        <v>235</v>
      </c>
    </row>
    <row r="46" customFormat="false" ht="57.75" hidden="false" customHeight="true" outlineLevel="0" collapsed="false">
      <c r="A46" s="10" t="n">
        <v>7</v>
      </c>
      <c r="B46" s="15" t="s">
        <v>240</v>
      </c>
      <c r="C46" s="12" t="s">
        <v>225</v>
      </c>
      <c r="D46" s="5" t="n">
        <v>2.5</v>
      </c>
      <c r="E46" s="25" t="s">
        <v>34</v>
      </c>
      <c r="F46" s="15" t="s">
        <v>93</v>
      </c>
      <c r="G46" s="15" t="s">
        <v>241</v>
      </c>
      <c r="H46" s="15" t="s">
        <v>227</v>
      </c>
      <c r="I46" s="15" t="s">
        <v>322</v>
      </c>
      <c r="J46" s="15" t="s">
        <v>95</v>
      </c>
      <c r="K46" s="15" t="s">
        <v>319</v>
      </c>
      <c r="L46" s="15" t="s">
        <v>90</v>
      </c>
      <c r="M46" s="24" t="s">
        <v>91</v>
      </c>
      <c r="N46" s="15" t="s">
        <v>320</v>
      </c>
      <c r="O46" s="24" t="s">
        <v>96</v>
      </c>
      <c r="P46" s="15" t="s">
        <v>231</v>
      </c>
      <c r="Q46" s="10" t="s">
        <v>221</v>
      </c>
      <c r="R46" s="32" t="s">
        <v>274</v>
      </c>
      <c r="S46" s="18" t="s">
        <v>235</v>
      </c>
      <c r="T46" s="17" t="s">
        <v>234</v>
      </c>
      <c r="U46" s="18" t="s">
        <v>235</v>
      </c>
      <c r="V46" s="18" t="s">
        <v>235</v>
      </c>
    </row>
    <row r="47" customFormat="false" ht="57.75" hidden="false" customHeight="true" outlineLevel="0" collapsed="false">
      <c r="A47" s="10" t="n">
        <v>7</v>
      </c>
      <c r="B47" s="15" t="s">
        <v>244</v>
      </c>
      <c r="C47" s="12" t="s">
        <v>225</v>
      </c>
      <c r="D47" s="5" t="n">
        <v>2.5</v>
      </c>
      <c r="E47" s="25" t="s">
        <v>34</v>
      </c>
      <c r="F47" s="15" t="s">
        <v>93</v>
      </c>
      <c r="G47" s="15" t="s">
        <v>245</v>
      </c>
      <c r="H47" s="15" t="s">
        <v>227</v>
      </c>
      <c r="I47" s="15" t="s">
        <v>323</v>
      </c>
      <c r="J47" s="15" t="s">
        <v>95</v>
      </c>
      <c r="K47" s="15" t="s">
        <v>319</v>
      </c>
      <c r="L47" s="15" t="s">
        <v>90</v>
      </c>
      <c r="M47" s="24" t="s">
        <v>91</v>
      </c>
      <c r="N47" s="15" t="s">
        <v>320</v>
      </c>
      <c r="O47" s="24" t="s">
        <v>96</v>
      </c>
      <c r="P47" s="15" t="s">
        <v>231</v>
      </c>
      <c r="Q47" s="10" t="s">
        <v>221</v>
      </c>
      <c r="R47" s="32" t="s">
        <v>274</v>
      </c>
      <c r="S47" s="18" t="s">
        <v>235</v>
      </c>
      <c r="T47" s="17" t="s">
        <v>234</v>
      </c>
      <c r="U47" s="18" t="s">
        <v>235</v>
      </c>
      <c r="V47" s="18" t="s">
        <v>235</v>
      </c>
    </row>
    <row r="48" customFormat="false" ht="57.75" hidden="false" customHeight="true" outlineLevel="0" collapsed="false">
      <c r="A48" s="10" t="n">
        <v>7</v>
      </c>
      <c r="B48" s="15" t="s">
        <v>248</v>
      </c>
      <c r="C48" s="12" t="s">
        <v>225</v>
      </c>
      <c r="D48" s="5" t="n">
        <v>2.5</v>
      </c>
      <c r="E48" s="25" t="s">
        <v>34</v>
      </c>
      <c r="F48" s="15" t="s">
        <v>93</v>
      </c>
      <c r="G48" s="15" t="s">
        <v>249</v>
      </c>
      <c r="H48" s="15" t="s">
        <v>227</v>
      </c>
      <c r="I48" s="15" t="s">
        <v>324</v>
      </c>
      <c r="J48" s="15" t="s">
        <v>94</v>
      </c>
      <c r="K48" s="15" t="s">
        <v>251</v>
      </c>
      <c r="L48" s="15" t="s">
        <v>90</v>
      </c>
      <c r="M48" s="24" t="s">
        <v>91</v>
      </c>
      <c r="N48" s="15" t="s">
        <v>320</v>
      </c>
      <c r="O48" s="24" t="s">
        <v>96</v>
      </c>
      <c r="P48" s="15" t="s">
        <v>231</v>
      </c>
      <c r="Q48" s="10" t="s">
        <v>313</v>
      </c>
      <c r="R48" s="29" t="s">
        <v>233</v>
      </c>
      <c r="S48" s="18" t="s">
        <v>235</v>
      </c>
      <c r="T48" s="17" t="s">
        <v>234</v>
      </c>
      <c r="U48" s="17" t="s">
        <v>234</v>
      </c>
      <c r="V48" s="17" t="s">
        <v>234</v>
      </c>
    </row>
    <row r="49" customFormat="false" ht="54" hidden="false" customHeight="true" outlineLevel="0" collapsed="false">
      <c r="A49" s="10" t="n">
        <v>7</v>
      </c>
      <c r="B49" s="15" t="s">
        <v>252</v>
      </c>
      <c r="C49" s="30" t="s">
        <v>253</v>
      </c>
      <c r="D49" s="5" t="n">
        <v>2.5</v>
      </c>
      <c r="E49" s="25" t="s">
        <v>34</v>
      </c>
      <c r="F49" s="15" t="s">
        <v>93</v>
      </c>
      <c r="G49" s="15" t="s">
        <v>254</v>
      </c>
      <c r="H49" s="15" t="s">
        <v>255</v>
      </c>
      <c r="I49" s="15" t="s">
        <v>325</v>
      </c>
      <c r="J49" s="15" t="s">
        <v>257</v>
      </c>
      <c r="K49" s="15" t="s">
        <v>326</v>
      </c>
      <c r="L49" s="15" t="s">
        <v>90</v>
      </c>
      <c r="M49" s="24" t="s">
        <v>91</v>
      </c>
      <c r="N49" s="15" t="s">
        <v>320</v>
      </c>
      <c r="O49" s="24" t="s">
        <v>96</v>
      </c>
      <c r="P49" s="15" t="s">
        <v>231</v>
      </c>
      <c r="Q49" s="10" t="s">
        <v>307</v>
      </c>
      <c r="R49" s="29" t="s">
        <v>233</v>
      </c>
      <c r="S49" s="18" t="s">
        <v>235</v>
      </c>
      <c r="T49" s="17" t="s">
        <v>234</v>
      </c>
      <c r="U49" s="17" t="s">
        <v>234</v>
      </c>
      <c r="V49" s="17" t="s">
        <v>234</v>
      </c>
    </row>
    <row r="50" customFormat="false" ht="31.5" hidden="false" customHeight="true" outlineLevel="0" collapsed="false">
      <c r="A50" s="10" t="n">
        <v>7</v>
      </c>
      <c r="B50" s="15" t="s">
        <v>260</v>
      </c>
      <c r="C50" s="28" t="s">
        <v>261</v>
      </c>
      <c r="D50" s="10" t="n">
        <v>0</v>
      </c>
      <c r="E50" s="25" t="s">
        <v>34</v>
      </c>
      <c r="F50" s="15" t="s">
        <v>93</v>
      </c>
      <c r="G50" s="15" t="s">
        <v>262</v>
      </c>
      <c r="H50" s="15" t="s">
        <v>263</v>
      </c>
      <c r="I50" s="15" t="s">
        <v>264</v>
      </c>
      <c r="J50" s="15" t="s">
        <v>265</v>
      </c>
      <c r="K50" s="15" t="s">
        <v>266</v>
      </c>
      <c r="L50" s="15"/>
      <c r="M50" s="15"/>
      <c r="N50" s="15"/>
      <c r="O50" s="15"/>
      <c r="P50" s="15"/>
      <c r="Q50" s="31" t="s">
        <v>261</v>
      </c>
      <c r="R50" s="31" t="s">
        <v>235</v>
      </c>
      <c r="S50" s="18" t="s">
        <v>235</v>
      </c>
      <c r="T50" s="18" t="s">
        <v>235</v>
      </c>
      <c r="U50" s="18" t="s">
        <v>235</v>
      </c>
      <c r="V50" s="18" t="s">
        <v>235</v>
      </c>
    </row>
    <row r="51" customFormat="false" ht="57.75" hidden="false" customHeight="true" outlineLevel="0" collapsed="false">
      <c r="A51" s="10" t="n">
        <v>8</v>
      </c>
      <c r="B51" s="15" t="s">
        <v>224</v>
      </c>
      <c r="C51" s="12" t="s">
        <v>225</v>
      </c>
      <c r="D51" s="5" t="n">
        <v>2.5</v>
      </c>
      <c r="E51" s="25" t="s">
        <v>34</v>
      </c>
      <c r="F51" s="15" t="s">
        <v>97</v>
      </c>
      <c r="G51" s="15" t="s">
        <v>226</v>
      </c>
      <c r="H51" s="15" t="s">
        <v>227</v>
      </c>
      <c r="I51" s="15" t="s">
        <v>327</v>
      </c>
      <c r="J51" s="15" t="s">
        <v>99</v>
      </c>
      <c r="K51" s="15" t="s">
        <v>328</v>
      </c>
      <c r="L51" s="15" t="s">
        <v>90</v>
      </c>
      <c r="M51" s="24" t="s">
        <v>91</v>
      </c>
      <c r="N51" s="15" t="s">
        <v>329</v>
      </c>
      <c r="O51" s="24" t="s">
        <v>92</v>
      </c>
      <c r="P51" s="15" t="s">
        <v>231</v>
      </c>
      <c r="Q51" s="10" t="s">
        <v>221</v>
      </c>
      <c r="R51" s="29" t="s">
        <v>233</v>
      </c>
      <c r="S51" s="18" t="s">
        <v>235</v>
      </c>
      <c r="T51" s="17" t="s">
        <v>234</v>
      </c>
      <c r="U51" s="18" t="s">
        <v>235</v>
      </c>
      <c r="V51" s="18" t="s">
        <v>235</v>
      </c>
    </row>
    <row r="52" customFormat="false" ht="57.75" hidden="false" customHeight="true" outlineLevel="0" collapsed="false">
      <c r="A52" s="10" t="n">
        <v>8</v>
      </c>
      <c r="B52" s="15" t="s">
        <v>236</v>
      </c>
      <c r="C52" s="12" t="s">
        <v>225</v>
      </c>
      <c r="D52" s="5" t="n">
        <v>2.5</v>
      </c>
      <c r="E52" s="25" t="s">
        <v>34</v>
      </c>
      <c r="F52" s="15" t="s">
        <v>97</v>
      </c>
      <c r="G52" s="15" t="s">
        <v>237</v>
      </c>
      <c r="H52" s="15" t="s">
        <v>227</v>
      </c>
      <c r="I52" s="15" t="s">
        <v>330</v>
      </c>
      <c r="J52" s="15" t="s">
        <v>99</v>
      </c>
      <c r="K52" s="15" t="s">
        <v>328</v>
      </c>
      <c r="L52" s="15" t="s">
        <v>90</v>
      </c>
      <c r="M52" s="24" t="s">
        <v>91</v>
      </c>
      <c r="N52" s="15" t="s">
        <v>329</v>
      </c>
      <c r="O52" s="24" t="s">
        <v>92</v>
      </c>
      <c r="P52" s="15" t="s">
        <v>231</v>
      </c>
      <c r="Q52" s="10" t="s">
        <v>300</v>
      </c>
      <c r="R52" s="29" t="s">
        <v>233</v>
      </c>
      <c r="S52" s="18" t="s">
        <v>235</v>
      </c>
      <c r="T52" s="17" t="s">
        <v>234</v>
      </c>
      <c r="U52" s="17" t="s">
        <v>234</v>
      </c>
      <c r="V52" s="18" t="s">
        <v>235</v>
      </c>
    </row>
    <row r="53" customFormat="false" ht="57.75" hidden="false" customHeight="true" outlineLevel="0" collapsed="false">
      <c r="A53" s="10" t="n">
        <v>8</v>
      </c>
      <c r="B53" s="15" t="s">
        <v>240</v>
      </c>
      <c r="C53" s="12" t="s">
        <v>225</v>
      </c>
      <c r="D53" s="5" t="n">
        <v>2.5</v>
      </c>
      <c r="E53" s="25" t="s">
        <v>34</v>
      </c>
      <c r="F53" s="15" t="s">
        <v>97</v>
      </c>
      <c r="G53" s="15" t="s">
        <v>241</v>
      </c>
      <c r="H53" s="15" t="s">
        <v>227</v>
      </c>
      <c r="I53" s="15" t="s">
        <v>331</v>
      </c>
      <c r="J53" s="15" t="s">
        <v>99</v>
      </c>
      <c r="K53" s="15" t="s">
        <v>328</v>
      </c>
      <c r="L53" s="15" t="s">
        <v>90</v>
      </c>
      <c r="M53" s="24" t="s">
        <v>91</v>
      </c>
      <c r="N53" s="15" t="s">
        <v>329</v>
      </c>
      <c r="O53" s="24" t="s">
        <v>92</v>
      </c>
      <c r="P53" s="15" t="s">
        <v>231</v>
      </c>
      <c r="Q53" s="10" t="s">
        <v>300</v>
      </c>
      <c r="R53" s="29" t="s">
        <v>233</v>
      </c>
      <c r="S53" s="18" t="s">
        <v>235</v>
      </c>
      <c r="T53" s="17" t="s">
        <v>234</v>
      </c>
      <c r="U53" s="17" t="s">
        <v>234</v>
      </c>
      <c r="V53" s="18" t="s">
        <v>235</v>
      </c>
    </row>
    <row r="54" customFormat="false" ht="57.75" hidden="false" customHeight="true" outlineLevel="0" collapsed="false">
      <c r="A54" s="10" t="n">
        <v>8</v>
      </c>
      <c r="B54" s="15" t="s">
        <v>244</v>
      </c>
      <c r="C54" s="12" t="s">
        <v>225</v>
      </c>
      <c r="D54" s="5" t="n">
        <v>2.5</v>
      </c>
      <c r="E54" s="25" t="s">
        <v>34</v>
      </c>
      <c r="F54" s="15" t="s">
        <v>97</v>
      </c>
      <c r="G54" s="15" t="s">
        <v>245</v>
      </c>
      <c r="H54" s="15" t="s">
        <v>227</v>
      </c>
      <c r="I54" s="15" t="s">
        <v>332</v>
      </c>
      <c r="J54" s="15" t="s">
        <v>99</v>
      </c>
      <c r="K54" s="15" t="s">
        <v>328</v>
      </c>
      <c r="L54" s="15" t="s">
        <v>90</v>
      </c>
      <c r="M54" s="24" t="s">
        <v>91</v>
      </c>
      <c r="N54" s="15" t="s">
        <v>329</v>
      </c>
      <c r="O54" s="24" t="s">
        <v>92</v>
      </c>
      <c r="P54" s="15" t="s">
        <v>231</v>
      </c>
      <c r="Q54" s="10" t="s">
        <v>333</v>
      </c>
      <c r="R54" s="29" t="s">
        <v>233</v>
      </c>
      <c r="S54" s="18" t="s">
        <v>235</v>
      </c>
      <c r="T54" s="17" t="s">
        <v>234</v>
      </c>
      <c r="U54" s="18" t="s">
        <v>235</v>
      </c>
      <c r="V54" s="17" t="s">
        <v>234</v>
      </c>
    </row>
    <row r="55" customFormat="false" ht="57.75" hidden="false" customHeight="true" outlineLevel="0" collapsed="false">
      <c r="A55" s="10" t="n">
        <v>8</v>
      </c>
      <c r="B55" s="15" t="s">
        <v>248</v>
      </c>
      <c r="C55" s="12" t="s">
        <v>225</v>
      </c>
      <c r="D55" s="5" t="n">
        <v>2.5</v>
      </c>
      <c r="E55" s="25" t="s">
        <v>34</v>
      </c>
      <c r="F55" s="15" t="s">
        <v>97</v>
      </c>
      <c r="G55" s="15" t="s">
        <v>249</v>
      </c>
      <c r="H55" s="15" t="s">
        <v>227</v>
      </c>
      <c r="I55" s="15" t="s">
        <v>334</v>
      </c>
      <c r="J55" s="15" t="s">
        <v>98</v>
      </c>
      <c r="K55" s="15" t="s">
        <v>251</v>
      </c>
      <c r="L55" s="15" t="s">
        <v>90</v>
      </c>
      <c r="M55" s="24" t="s">
        <v>91</v>
      </c>
      <c r="N55" s="15" t="s">
        <v>329</v>
      </c>
      <c r="O55" s="24" t="s">
        <v>92</v>
      </c>
      <c r="P55" s="15" t="s">
        <v>231</v>
      </c>
      <c r="Q55" s="10" t="s">
        <v>221</v>
      </c>
      <c r="R55" s="29" t="s">
        <v>233</v>
      </c>
      <c r="S55" s="18" t="s">
        <v>235</v>
      </c>
      <c r="T55" s="17" t="s">
        <v>234</v>
      </c>
      <c r="U55" s="18" t="s">
        <v>235</v>
      </c>
      <c r="V55" s="18" t="s">
        <v>235</v>
      </c>
    </row>
    <row r="56" customFormat="false" ht="54" hidden="false" customHeight="true" outlineLevel="0" collapsed="false">
      <c r="A56" s="10" t="n">
        <v>8</v>
      </c>
      <c r="B56" s="15" t="s">
        <v>252</v>
      </c>
      <c r="C56" s="30" t="s">
        <v>253</v>
      </c>
      <c r="D56" s="5" t="n">
        <v>2.5</v>
      </c>
      <c r="E56" s="25" t="s">
        <v>34</v>
      </c>
      <c r="F56" s="15" t="s">
        <v>97</v>
      </c>
      <c r="G56" s="15" t="s">
        <v>254</v>
      </c>
      <c r="H56" s="15" t="s">
        <v>255</v>
      </c>
      <c r="I56" s="15" t="s">
        <v>335</v>
      </c>
      <c r="J56" s="15" t="s">
        <v>257</v>
      </c>
      <c r="K56" s="15" t="s">
        <v>336</v>
      </c>
      <c r="L56" s="15" t="s">
        <v>90</v>
      </c>
      <c r="M56" s="24" t="s">
        <v>91</v>
      </c>
      <c r="N56" s="15" t="s">
        <v>329</v>
      </c>
      <c r="O56" s="24" t="s">
        <v>92</v>
      </c>
      <c r="P56" s="15" t="s">
        <v>231</v>
      </c>
      <c r="Q56" s="10" t="s">
        <v>307</v>
      </c>
      <c r="R56" s="29" t="s">
        <v>233</v>
      </c>
      <c r="S56" s="18" t="s">
        <v>235</v>
      </c>
      <c r="T56" s="17" t="s">
        <v>234</v>
      </c>
      <c r="U56" s="17" t="s">
        <v>234</v>
      </c>
      <c r="V56" s="17" t="s">
        <v>234</v>
      </c>
    </row>
    <row r="57" customFormat="false" ht="31.5" hidden="false" customHeight="true" outlineLevel="0" collapsed="false">
      <c r="A57" s="10" t="n">
        <v>8</v>
      </c>
      <c r="B57" s="15" t="s">
        <v>260</v>
      </c>
      <c r="C57" s="28" t="s">
        <v>261</v>
      </c>
      <c r="D57" s="10" t="n">
        <v>0</v>
      </c>
      <c r="E57" s="25" t="s">
        <v>34</v>
      </c>
      <c r="F57" s="15" t="s">
        <v>97</v>
      </c>
      <c r="G57" s="15" t="s">
        <v>262</v>
      </c>
      <c r="H57" s="15" t="s">
        <v>263</v>
      </c>
      <c r="I57" s="15" t="s">
        <v>264</v>
      </c>
      <c r="J57" s="15" t="s">
        <v>265</v>
      </c>
      <c r="K57" s="15" t="s">
        <v>266</v>
      </c>
      <c r="L57" s="15"/>
      <c r="M57" s="15"/>
      <c r="N57" s="15"/>
      <c r="O57" s="15"/>
      <c r="P57" s="15"/>
      <c r="Q57" s="31" t="s">
        <v>261</v>
      </c>
      <c r="R57" s="31" t="s">
        <v>235</v>
      </c>
      <c r="S57" s="18" t="s">
        <v>235</v>
      </c>
      <c r="T57" s="18" t="s">
        <v>235</v>
      </c>
      <c r="U57" s="18" t="s">
        <v>235</v>
      </c>
      <c r="V57" s="18" t="s">
        <v>235</v>
      </c>
    </row>
    <row r="58" customFormat="false" ht="57.75" hidden="false" customHeight="true" outlineLevel="0" collapsed="false">
      <c r="A58" s="10" t="n">
        <v>9</v>
      </c>
      <c r="B58" s="15" t="s">
        <v>224</v>
      </c>
      <c r="C58" s="12" t="s">
        <v>225</v>
      </c>
      <c r="D58" s="5" t="n">
        <v>2.5</v>
      </c>
      <c r="E58" s="25" t="s">
        <v>34</v>
      </c>
      <c r="F58" s="15" t="s">
        <v>100</v>
      </c>
      <c r="G58" s="15" t="s">
        <v>226</v>
      </c>
      <c r="H58" s="15" t="s">
        <v>227</v>
      </c>
      <c r="I58" s="15" t="s">
        <v>337</v>
      </c>
      <c r="J58" s="15" t="s">
        <v>102</v>
      </c>
      <c r="K58" s="15" t="s">
        <v>338</v>
      </c>
      <c r="L58" s="15" t="s">
        <v>90</v>
      </c>
      <c r="M58" s="24" t="s">
        <v>91</v>
      </c>
      <c r="N58" s="15" t="s">
        <v>339</v>
      </c>
      <c r="O58" s="24" t="s">
        <v>103</v>
      </c>
      <c r="P58" s="15" t="s">
        <v>231</v>
      </c>
      <c r="Q58" s="10" t="s">
        <v>221</v>
      </c>
      <c r="R58" s="29" t="s">
        <v>233</v>
      </c>
      <c r="S58" s="18" t="s">
        <v>235</v>
      </c>
      <c r="T58" s="17" t="s">
        <v>234</v>
      </c>
      <c r="U58" s="18" t="s">
        <v>235</v>
      </c>
      <c r="V58" s="18" t="s">
        <v>235</v>
      </c>
    </row>
    <row r="59" customFormat="false" ht="57.75" hidden="false" customHeight="true" outlineLevel="0" collapsed="false">
      <c r="A59" s="10" t="n">
        <v>9</v>
      </c>
      <c r="B59" s="15" t="s">
        <v>236</v>
      </c>
      <c r="C59" s="12" t="s">
        <v>225</v>
      </c>
      <c r="D59" s="5" t="n">
        <v>2.5</v>
      </c>
      <c r="E59" s="25" t="s">
        <v>34</v>
      </c>
      <c r="F59" s="15" t="s">
        <v>100</v>
      </c>
      <c r="G59" s="15" t="s">
        <v>237</v>
      </c>
      <c r="H59" s="15" t="s">
        <v>227</v>
      </c>
      <c r="I59" s="15" t="s">
        <v>340</v>
      </c>
      <c r="J59" s="15" t="s">
        <v>102</v>
      </c>
      <c r="K59" s="15" t="s">
        <v>338</v>
      </c>
      <c r="L59" s="15" t="s">
        <v>90</v>
      </c>
      <c r="M59" s="24" t="s">
        <v>91</v>
      </c>
      <c r="N59" s="15" t="s">
        <v>339</v>
      </c>
      <c r="O59" s="24" t="s">
        <v>103</v>
      </c>
      <c r="P59" s="15" t="s">
        <v>231</v>
      </c>
      <c r="Q59" s="10" t="s">
        <v>221</v>
      </c>
      <c r="R59" s="29" t="s">
        <v>233</v>
      </c>
      <c r="S59" s="18" t="s">
        <v>235</v>
      </c>
      <c r="T59" s="17" t="s">
        <v>234</v>
      </c>
      <c r="U59" s="18" t="s">
        <v>235</v>
      </c>
      <c r="V59" s="18" t="s">
        <v>235</v>
      </c>
    </row>
    <row r="60" customFormat="false" ht="57.75" hidden="false" customHeight="true" outlineLevel="0" collapsed="false">
      <c r="A60" s="10" t="n">
        <v>9</v>
      </c>
      <c r="B60" s="15" t="s">
        <v>240</v>
      </c>
      <c r="C60" s="12" t="s">
        <v>225</v>
      </c>
      <c r="D60" s="5" t="n">
        <v>2.5</v>
      </c>
      <c r="E60" s="25" t="s">
        <v>34</v>
      </c>
      <c r="F60" s="15" t="s">
        <v>100</v>
      </c>
      <c r="G60" s="15" t="s">
        <v>241</v>
      </c>
      <c r="H60" s="15" t="s">
        <v>227</v>
      </c>
      <c r="I60" s="15" t="s">
        <v>341</v>
      </c>
      <c r="J60" s="15" t="s">
        <v>102</v>
      </c>
      <c r="K60" s="15" t="s">
        <v>338</v>
      </c>
      <c r="L60" s="15" t="s">
        <v>90</v>
      </c>
      <c r="M60" s="24" t="s">
        <v>91</v>
      </c>
      <c r="N60" s="15" t="s">
        <v>339</v>
      </c>
      <c r="O60" s="24" t="s">
        <v>103</v>
      </c>
      <c r="P60" s="15" t="s">
        <v>231</v>
      </c>
      <c r="Q60" s="10" t="s">
        <v>313</v>
      </c>
      <c r="R60" s="29" t="s">
        <v>233</v>
      </c>
      <c r="S60" s="18" t="s">
        <v>235</v>
      </c>
      <c r="T60" s="17" t="s">
        <v>234</v>
      </c>
      <c r="U60" s="17" t="s">
        <v>234</v>
      </c>
      <c r="V60" s="17" t="s">
        <v>234</v>
      </c>
    </row>
    <row r="61" customFormat="false" ht="57.75" hidden="false" customHeight="true" outlineLevel="0" collapsed="false">
      <c r="A61" s="10" t="n">
        <v>9</v>
      </c>
      <c r="B61" s="15" t="s">
        <v>244</v>
      </c>
      <c r="C61" s="12" t="s">
        <v>225</v>
      </c>
      <c r="D61" s="5" t="n">
        <v>2.5</v>
      </c>
      <c r="E61" s="25" t="s">
        <v>34</v>
      </c>
      <c r="F61" s="15" t="s">
        <v>100</v>
      </c>
      <c r="G61" s="15" t="s">
        <v>245</v>
      </c>
      <c r="H61" s="15" t="s">
        <v>227</v>
      </c>
      <c r="I61" s="15" t="s">
        <v>342</v>
      </c>
      <c r="J61" s="15" t="s">
        <v>102</v>
      </c>
      <c r="K61" s="15" t="s">
        <v>338</v>
      </c>
      <c r="L61" s="15" t="s">
        <v>90</v>
      </c>
      <c r="M61" s="24" t="s">
        <v>91</v>
      </c>
      <c r="N61" s="15" t="s">
        <v>339</v>
      </c>
      <c r="O61" s="24" t="s">
        <v>103</v>
      </c>
      <c r="P61" s="15" t="s">
        <v>231</v>
      </c>
      <c r="Q61" s="10" t="s">
        <v>300</v>
      </c>
      <c r="R61" s="29" t="s">
        <v>233</v>
      </c>
      <c r="S61" s="18" t="s">
        <v>235</v>
      </c>
      <c r="T61" s="17" t="s">
        <v>234</v>
      </c>
      <c r="U61" s="17" t="s">
        <v>234</v>
      </c>
      <c r="V61" s="18" t="s">
        <v>235</v>
      </c>
    </row>
    <row r="62" customFormat="false" ht="57.75" hidden="false" customHeight="true" outlineLevel="0" collapsed="false">
      <c r="A62" s="10" t="n">
        <v>9</v>
      </c>
      <c r="B62" s="15" t="s">
        <v>248</v>
      </c>
      <c r="C62" s="12" t="s">
        <v>225</v>
      </c>
      <c r="D62" s="5" t="n">
        <v>2.5</v>
      </c>
      <c r="E62" s="25" t="s">
        <v>34</v>
      </c>
      <c r="F62" s="15" t="s">
        <v>100</v>
      </c>
      <c r="G62" s="15" t="s">
        <v>249</v>
      </c>
      <c r="H62" s="15" t="s">
        <v>227</v>
      </c>
      <c r="I62" s="15" t="s">
        <v>343</v>
      </c>
      <c r="J62" s="15" t="s">
        <v>101</v>
      </c>
      <c r="K62" s="15" t="s">
        <v>251</v>
      </c>
      <c r="L62" s="15" t="s">
        <v>90</v>
      </c>
      <c r="M62" s="24" t="s">
        <v>91</v>
      </c>
      <c r="N62" s="15" t="s">
        <v>339</v>
      </c>
      <c r="O62" s="24" t="s">
        <v>103</v>
      </c>
      <c r="P62" s="15" t="s">
        <v>231</v>
      </c>
      <c r="Q62" s="10" t="s">
        <v>313</v>
      </c>
      <c r="R62" s="29" t="s">
        <v>233</v>
      </c>
      <c r="S62" s="18" t="s">
        <v>235</v>
      </c>
      <c r="T62" s="17" t="s">
        <v>234</v>
      </c>
      <c r="U62" s="17" t="s">
        <v>234</v>
      </c>
      <c r="V62" s="17" t="s">
        <v>234</v>
      </c>
    </row>
    <row r="63" customFormat="false" ht="54" hidden="false" customHeight="true" outlineLevel="0" collapsed="false">
      <c r="A63" s="10" t="n">
        <v>9</v>
      </c>
      <c r="B63" s="15" t="s">
        <v>252</v>
      </c>
      <c r="C63" s="30" t="s">
        <v>253</v>
      </c>
      <c r="D63" s="5" t="n">
        <v>2.5</v>
      </c>
      <c r="E63" s="25" t="s">
        <v>34</v>
      </c>
      <c r="F63" s="15" t="s">
        <v>100</v>
      </c>
      <c r="G63" s="15" t="s">
        <v>254</v>
      </c>
      <c r="H63" s="15" t="s">
        <v>255</v>
      </c>
      <c r="I63" s="15" t="s">
        <v>344</v>
      </c>
      <c r="J63" s="15" t="s">
        <v>257</v>
      </c>
      <c r="K63" s="15" t="s">
        <v>345</v>
      </c>
      <c r="L63" s="15" t="s">
        <v>90</v>
      </c>
      <c r="M63" s="24" t="s">
        <v>91</v>
      </c>
      <c r="N63" s="15" t="s">
        <v>339</v>
      </c>
      <c r="O63" s="24" t="s">
        <v>103</v>
      </c>
      <c r="P63" s="15" t="s">
        <v>231</v>
      </c>
      <c r="Q63" s="10" t="s">
        <v>307</v>
      </c>
      <c r="R63" s="29" t="s">
        <v>233</v>
      </c>
      <c r="S63" s="18" t="s">
        <v>235</v>
      </c>
      <c r="T63" s="17" t="s">
        <v>234</v>
      </c>
      <c r="U63" s="17" t="s">
        <v>234</v>
      </c>
      <c r="V63" s="17" t="s">
        <v>234</v>
      </c>
    </row>
    <row r="64" customFormat="false" ht="31.5" hidden="false" customHeight="true" outlineLevel="0" collapsed="false">
      <c r="A64" s="10" t="n">
        <v>9</v>
      </c>
      <c r="B64" s="15" t="s">
        <v>260</v>
      </c>
      <c r="C64" s="28" t="s">
        <v>261</v>
      </c>
      <c r="D64" s="10" t="n">
        <v>0</v>
      </c>
      <c r="E64" s="25" t="s">
        <v>34</v>
      </c>
      <c r="F64" s="15" t="s">
        <v>100</v>
      </c>
      <c r="G64" s="15" t="s">
        <v>262</v>
      </c>
      <c r="H64" s="15" t="s">
        <v>263</v>
      </c>
      <c r="I64" s="15" t="s">
        <v>264</v>
      </c>
      <c r="J64" s="15" t="s">
        <v>265</v>
      </c>
      <c r="K64" s="15" t="s">
        <v>266</v>
      </c>
      <c r="L64" s="15"/>
      <c r="M64" s="15"/>
      <c r="N64" s="15"/>
      <c r="O64" s="15"/>
      <c r="P64" s="15"/>
      <c r="Q64" s="31" t="s">
        <v>261</v>
      </c>
      <c r="R64" s="31" t="s">
        <v>235</v>
      </c>
      <c r="S64" s="18" t="s">
        <v>235</v>
      </c>
      <c r="T64" s="18" t="s">
        <v>235</v>
      </c>
      <c r="U64" s="18" t="s">
        <v>235</v>
      </c>
      <c r="V64" s="18" t="s">
        <v>235</v>
      </c>
    </row>
    <row r="65" customFormat="false" ht="57.75" hidden="false" customHeight="true" outlineLevel="0" collapsed="false">
      <c r="A65" s="10" t="n">
        <v>10</v>
      </c>
      <c r="B65" s="15" t="s">
        <v>224</v>
      </c>
      <c r="C65" s="12" t="s">
        <v>225</v>
      </c>
      <c r="D65" s="5" t="n">
        <v>2.5</v>
      </c>
      <c r="E65" s="25" t="s">
        <v>34</v>
      </c>
      <c r="F65" s="15" t="s">
        <v>104</v>
      </c>
      <c r="G65" s="15" t="s">
        <v>226</v>
      </c>
      <c r="H65" s="15" t="s">
        <v>227</v>
      </c>
      <c r="I65" s="15" t="s">
        <v>346</v>
      </c>
      <c r="J65" s="15" t="s">
        <v>106</v>
      </c>
      <c r="K65" s="15" t="s">
        <v>347</v>
      </c>
      <c r="L65" s="15" t="s">
        <v>90</v>
      </c>
      <c r="M65" s="24" t="s">
        <v>91</v>
      </c>
      <c r="N65" s="15" t="s">
        <v>348</v>
      </c>
      <c r="O65" s="24" t="s">
        <v>107</v>
      </c>
      <c r="P65" s="15" t="s">
        <v>231</v>
      </c>
      <c r="Q65" s="10" t="s">
        <v>221</v>
      </c>
      <c r="R65" s="29" t="s">
        <v>233</v>
      </c>
      <c r="S65" s="18" t="s">
        <v>235</v>
      </c>
      <c r="T65" s="17" t="s">
        <v>234</v>
      </c>
      <c r="U65" s="18" t="s">
        <v>235</v>
      </c>
      <c r="V65" s="18" t="s">
        <v>235</v>
      </c>
    </row>
    <row r="66" customFormat="false" ht="57.75" hidden="false" customHeight="true" outlineLevel="0" collapsed="false">
      <c r="A66" s="10" t="n">
        <v>10</v>
      </c>
      <c r="B66" s="15" t="s">
        <v>236</v>
      </c>
      <c r="C66" s="12" t="s">
        <v>225</v>
      </c>
      <c r="D66" s="5" t="n">
        <v>2.5</v>
      </c>
      <c r="E66" s="25" t="s">
        <v>34</v>
      </c>
      <c r="F66" s="15" t="s">
        <v>104</v>
      </c>
      <c r="G66" s="15" t="s">
        <v>237</v>
      </c>
      <c r="H66" s="15" t="s">
        <v>227</v>
      </c>
      <c r="I66" s="15" t="s">
        <v>349</v>
      </c>
      <c r="J66" s="15" t="s">
        <v>106</v>
      </c>
      <c r="K66" s="15" t="s">
        <v>347</v>
      </c>
      <c r="L66" s="15" t="s">
        <v>90</v>
      </c>
      <c r="M66" s="24" t="s">
        <v>91</v>
      </c>
      <c r="N66" s="15" t="s">
        <v>348</v>
      </c>
      <c r="O66" s="24" t="s">
        <v>107</v>
      </c>
      <c r="P66" s="15" t="s">
        <v>231</v>
      </c>
      <c r="Q66" s="10" t="s">
        <v>221</v>
      </c>
      <c r="R66" s="29" t="s">
        <v>233</v>
      </c>
      <c r="S66" s="18" t="s">
        <v>235</v>
      </c>
      <c r="T66" s="17" t="s">
        <v>234</v>
      </c>
      <c r="U66" s="18" t="s">
        <v>235</v>
      </c>
      <c r="V66" s="18" t="s">
        <v>235</v>
      </c>
    </row>
    <row r="67" customFormat="false" ht="57.75" hidden="false" customHeight="true" outlineLevel="0" collapsed="false">
      <c r="A67" s="10" t="n">
        <v>10</v>
      </c>
      <c r="B67" s="15" t="s">
        <v>240</v>
      </c>
      <c r="C67" s="12" t="s">
        <v>225</v>
      </c>
      <c r="D67" s="5" t="n">
        <v>2.5</v>
      </c>
      <c r="E67" s="25" t="s">
        <v>34</v>
      </c>
      <c r="F67" s="15" t="s">
        <v>104</v>
      </c>
      <c r="G67" s="15" t="s">
        <v>241</v>
      </c>
      <c r="H67" s="15" t="s">
        <v>227</v>
      </c>
      <c r="I67" s="15" t="s">
        <v>350</v>
      </c>
      <c r="J67" s="15" t="s">
        <v>106</v>
      </c>
      <c r="K67" s="15" t="s">
        <v>347</v>
      </c>
      <c r="L67" s="15" t="s">
        <v>90</v>
      </c>
      <c r="M67" s="24" t="s">
        <v>91</v>
      </c>
      <c r="N67" s="15" t="s">
        <v>348</v>
      </c>
      <c r="O67" s="24" t="s">
        <v>107</v>
      </c>
      <c r="P67" s="15" t="s">
        <v>231</v>
      </c>
      <c r="Q67" s="10" t="s">
        <v>221</v>
      </c>
      <c r="R67" s="32" t="s">
        <v>274</v>
      </c>
      <c r="S67" s="18" t="s">
        <v>235</v>
      </c>
      <c r="T67" s="17" t="s">
        <v>234</v>
      </c>
      <c r="U67" s="18" t="s">
        <v>235</v>
      </c>
      <c r="V67" s="18" t="s">
        <v>235</v>
      </c>
    </row>
    <row r="68" customFormat="false" ht="57.75" hidden="false" customHeight="true" outlineLevel="0" collapsed="false">
      <c r="A68" s="10" t="n">
        <v>10</v>
      </c>
      <c r="B68" s="15" t="s">
        <v>244</v>
      </c>
      <c r="C68" s="12" t="s">
        <v>225</v>
      </c>
      <c r="D68" s="5" t="n">
        <v>2.5</v>
      </c>
      <c r="E68" s="25" t="s">
        <v>34</v>
      </c>
      <c r="F68" s="15" t="s">
        <v>104</v>
      </c>
      <c r="G68" s="15" t="s">
        <v>245</v>
      </c>
      <c r="H68" s="15" t="s">
        <v>227</v>
      </c>
      <c r="I68" s="15" t="s">
        <v>351</v>
      </c>
      <c r="J68" s="15" t="s">
        <v>106</v>
      </c>
      <c r="K68" s="15" t="s">
        <v>347</v>
      </c>
      <c r="L68" s="15" t="s">
        <v>90</v>
      </c>
      <c r="M68" s="24" t="s">
        <v>91</v>
      </c>
      <c r="N68" s="15" t="s">
        <v>348</v>
      </c>
      <c r="O68" s="24" t="s">
        <v>107</v>
      </c>
      <c r="P68" s="15" t="s">
        <v>231</v>
      </c>
      <c r="Q68" s="10" t="s">
        <v>313</v>
      </c>
      <c r="R68" s="32" t="s">
        <v>274</v>
      </c>
      <c r="S68" s="18" t="s">
        <v>235</v>
      </c>
      <c r="T68" s="17" t="s">
        <v>234</v>
      </c>
      <c r="U68" s="17" t="s">
        <v>234</v>
      </c>
      <c r="V68" s="17" t="s">
        <v>234</v>
      </c>
    </row>
    <row r="69" customFormat="false" ht="57.75" hidden="false" customHeight="true" outlineLevel="0" collapsed="false">
      <c r="A69" s="10" t="n">
        <v>10</v>
      </c>
      <c r="B69" s="15" t="s">
        <v>248</v>
      </c>
      <c r="C69" s="12" t="s">
        <v>225</v>
      </c>
      <c r="D69" s="5" t="n">
        <v>2.5</v>
      </c>
      <c r="E69" s="25" t="s">
        <v>34</v>
      </c>
      <c r="F69" s="15" t="s">
        <v>104</v>
      </c>
      <c r="G69" s="15" t="s">
        <v>249</v>
      </c>
      <c r="H69" s="15" t="s">
        <v>227</v>
      </c>
      <c r="I69" s="15" t="s">
        <v>352</v>
      </c>
      <c r="J69" s="15" t="s">
        <v>105</v>
      </c>
      <c r="K69" s="15" t="s">
        <v>251</v>
      </c>
      <c r="L69" s="15" t="s">
        <v>90</v>
      </c>
      <c r="M69" s="24" t="s">
        <v>91</v>
      </c>
      <c r="N69" s="15" t="s">
        <v>348</v>
      </c>
      <c r="O69" s="24" t="s">
        <v>107</v>
      </c>
      <c r="P69" s="15" t="s">
        <v>231</v>
      </c>
      <c r="Q69" s="10" t="s">
        <v>313</v>
      </c>
      <c r="R69" s="29" t="s">
        <v>233</v>
      </c>
      <c r="S69" s="18" t="s">
        <v>235</v>
      </c>
      <c r="T69" s="17" t="s">
        <v>234</v>
      </c>
      <c r="U69" s="17" t="s">
        <v>234</v>
      </c>
      <c r="V69" s="17" t="s">
        <v>234</v>
      </c>
    </row>
    <row r="70" customFormat="false" ht="54" hidden="false" customHeight="true" outlineLevel="0" collapsed="false">
      <c r="A70" s="10" t="n">
        <v>10</v>
      </c>
      <c r="B70" s="15" t="s">
        <v>252</v>
      </c>
      <c r="C70" s="30" t="s">
        <v>253</v>
      </c>
      <c r="D70" s="5" t="n">
        <v>2.5</v>
      </c>
      <c r="E70" s="25" t="s">
        <v>34</v>
      </c>
      <c r="F70" s="15" t="s">
        <v>104</v>
      </c>
      <c r="G70" s="15" t="s">
        <v>254</v>
      </c>
      <c r="H70" s="15" t="s">
        <v>255</v>
      </c>
      <c r="I70" s="15" t="s">
        <v>353</v>
      </c>
      <c r="J70" s="15" t="s">
        <v>257</v>
      </c>
      <c r="K70" s="15" t="s">
        <v>354</v>
      </c>
      <c r="L70" s="15" t="s">
        <v>90</v>
      </c>
      <c r="M70" s="24" t="s">
        <v>91</v>
      </c>
      <c r="N70" s="15" t="s">
        <v>348</v>
      </c>
      <c r="O70" s="24" t="s">
        <v>107</v>
      </c>
      <c r="P70" s="15" t="s">
        <v>231</v>
      </c>
      <c r="Q70" s="10" t="s">
        <v>307</v>
      </c>
      <c r="R70" s="29" t="s">
        <v>233</v>
      </c>
      <c r="S70" s="18" t="s">
        <v>235</v>
      </c>
      <c r="T70" s="17" t="s">
        <v>234</v>
      </c>
      <c r="U70" s="17" t="s">
        <v>234</v>
      </c>
      <c r="V70" s="17" t="s">
        <v>234</v>
      </c>
    </row>
    <row r="71" customFormat="false" ht="31.5" hidden="false" customHeight="true" outlineLevel="0" collapsed="false">
      <c r="A71" s="10" t="n">
        <v>10</v>
      </c>
      <c r="B71" s="15" t="s">
        <v>260</v>
      </c>
      <c r="C71" s="28" t="s">
        <v>261</v>
      </c>
      <c r="D71" s="10" t="n">
        <v>0</v>
      </c>
      <c r="E71" s="25" t="s">
        <v>34</v>
      </c>
      <c r="F71" s="15" t="s">
        <v>104</v>
      </c>
      <c r="G71" s="15" t="s">
        <v>262</v>
      </c>
      <c r="H71" s="15" t="s">
        <v>263</v>
      </c>
      <c r="I71" s="15" t="s">
        <v>264</v>
      </c>
      <c r="J71" s="15" t="s">
        <v>265</v>
      </c>
      <c r="K71" s="15" t="s">
        <v>266</v>
      </c>
      <c r="L71" s="15"/>
      <c r="M71" s="15"/>
      <c r="N71" s="15"/>
      <c r="O71" s="15"/>
      <c r="P71" s="15"/>
      <c r="Q71" s="31" t="s">
        <v>261</v>
      </c>
      <c r="R71" s="31" t="s">
        <v>235</v>
      </c>
      <c r="S71" s="18" t="s">
        <v>235</v>
      </c>
      <c r="T71" s="18" t="s">
        <v>235</v>
      </c>
      <c r="U71" s="18" t="s">
        <v>235</v>
      </c>
      <c r="V71" s="18" t="s">
        <v>235</v>
      </c>
    </row>
    <row r="72" customFormat="false" ht="57.75" hidden="false" customHeight="true" outlineLevel="0" collapsed="false">
      <c r="A72" s="10" t="n">
        <v>11</v>
      </c>
      <c r="B72" s="15" t="s">
        <v>224</v>
      </c>
      <c r="C72" s="12" t="s">
        <v>225</v>
      </c>
      <c r="D72" s="5" t="n">
        <v>2.5</v>
      </c>
      <c r="E72" s="25" t="s">
        <v>34</v>
      </c>
      <c r="F72" s="15" t="s">
        <v>108</v>
      </c>
      <c r="G72" s="15" t="s">
        <v>226</v>
      </c>
      <c r="H72" s="15" t="s">
        <v>227</v>
      </c>
      <c r="I72" s="15" t="s">
        <v>355</v>
      </c>
      <c r="J72" s="15" t="s">
        <v>110</v>
      </c>
      <c r="K72" s="15" t="s">
        <v>356</v>
      </c>
      <c r="L72" s="15" t="s">
        <v>111</v>
      </c>
      <c r="M72" s="24" t="s">
        <v>107</v>
      </c>
      <c r="N72" s="15" t="s">
        <v>357</v>
      </c>
      <c r="O72" s="24" t="s">
        <v>112</v>
      </c>
      <c r="P72" s="15" t="s">
        <v>231</v>
      </c>
      <c r="Q72" s="10" t="s">
        <v>300</v>
      </c>
      <c r="R72" s="32" t="s">
        <v>274</v>
      </c>
      <c r="S72" s="18" t="s">
        <v>235</v>
      </c>
      <c r="T72" s="17" t="s">
        <v>234</v>
      </c>
      <c r="U72" s="17" t="s">
        <v>234</v>
      </c>
      <c r="V72" s="18" t="s">
        <v>235</v>
      </c>
    </row>
    <row r="73" customFormat="false" ht="57.75" hidden="false" customHeight="true" outlineLevel="0" collapsed="false">
      <c r="A73" s="10" t="n">
        <v>11</v>
      </c>
      <c r="B73" s="15" t="s">
        <v>236</v>
      </c>
      <c r="C73" s="12" t="s">
        <v>225</v>
      </c>
      <c r="D73" s="5" t="n">
        <v>2.5</v>
      </c>
      <c r="E73" s="25" t="s">
        <v>34</v>
      </c>
      <c r="F73" s="15" t="s">
        <v>108</v>
      </c>
      <c r="G73" s="15" t="s">
        <v>237</v>
      </c>
      <c r="H73" s="15" t="s">
        <v>227</v>
      </c>
      <c r="I73" s="15" t="s">
        <v>358</v>
      </c>
      <c r="J73" s="15" t="s">
        <v>110</v>
      </c>
      <c r="K73" s="15" t="s">
        <v>356</v>
      </c>
      <c r="L73" s="15" t="s">
        <v>111</v>
      </c>
      <c r="M73" s="24" t="s">
        <v>107</v>
      </c>
      <c r="N73" s="15" t="s">
        <v>357</v>
      </c>
      <c r="O73" s="24" t="s">
        <v>112</v>
      </c>
      <c r="P73" s="15" t="s">
        <v>231</v>
      </c>
      <c r="Q73" s="10" t="s">
        <v>300</v>
      </c>
      <c r="R73" s="29" t="s">
        <v>233</v>
      </c>
      <c r="S73" s="18" t="s">
        <v>235</v>
      </c>
      <c r="T73" s="17" t="s">
        <v>234</v>
      </c>
      <c r="U73" s="17" t="s">
        <v>234</v>
      </c>
      <c r="V73" s="18" t="s">
        <v>235</v>
      </c>
    </row>
    <row r="74" customFormat="false" ht="57.75" hidden="false" customHeight="true" outlineLevel="0" collapsed="false">
      <c r="A74" s="10" t="n">
        <v>11</v>
      </c>
      <c r="B74" s="15" t="s">
        <v>240</v>
      </c>
      <c r="C74" s="12" t="s">
        <v>225</v>
      </c>
      <c r="D74" s="5" t="n">
        <v>2.5</v>
      </c>
      <c r="E74" s="25" t="s">
        <v>34</v>
      </c>
      <c r="F74" s="15" t="s">
        <v>108</v>
      </c>
      <c r="G74" s="15" t="s">
        <v>241</v>
      </c>
      <c r="H74" s="15" t="s">
        <v>227</v>
      </c>
      <c r="I74" s="15" t="s">
        <v>359</v>
      </c>
      <c r="J74" s="15" t="s">
        <v>110</v>
      </c>
      <c r="K74" s="15" t="s">
        <v>356</v>
      </c>
      <c r="L74" s="15" t="s">
        <v>111</v>
      </c>
      <c r="M74" s="24" t="s">
        <v>107</v>
      </c>
      <c r="N74" s="15" t="s">
        <v>357</v>
      </c>
      <c r="O74" s="24" t="s">
        <v>112</v>
      </c>
      <c r="P74" s="15" t="s">
        <v>231</v>
      </c>
      <c r="Q74" s="10" t="s">
        <v>300</v>
      </c>
      <c r="R74" s="29" t="s">
        <v>233</v>
      </c>
      <c r="S74" s="18" t="s">
        <v>235</v>
      </c>
      <c r="T74" s="17" t="s">
        <v>234</v>
      </c>
      <c r="U74" s="17" t="s">
        <v>234</v>
      </c>
      <c r="V74" s="18" t="s">
        <v>235</v>
      </c>
    </row>
    <row r="75" customFormat="false" ht="57.75" hidden="false" customHeight="true" outlineLevel="0" collapsed="false">
      <c r="A75" s="10" t="n">
        <v>11</v>
      </c>
      <c r="B75" s="15" t="s">
        <v>244</v>
      </c>
      <c r="C75" s="12" t="s">
        <v>225</v>
      </c>
      <c r="D75" s="5" t="n">
        <v>2.5</v>
      </c>
      <c r="E75" s="25" t="s">
        <v>34</v>
      </c>
      <c r="F75" s="15" t="s">
        <v>108</v>
      </c>
      <c r="G75" s="15" t="s">
        <v>245</v>
      </c>
      <c r="H75" s="15" t="s">
        <v>227</v>
      </c>
      <c r="I75" s="15" t="s">
        <v>360</v>
      </c>
      <c r="J75" s="15" t="s">
        <v>110</v>
      </c>
      <c r="K75" s="15" t="s">
        <v>356</v>
      </c>
      <c r="L75" s="15" t="s">
        <v>111</v>
      </c>
      <c r="M75" s="24" t="s">
        <v>107</v>
      </c>
      <c r="N75" s="15" t="s">
        <v>357</v>
      </c>
      <c r="O75" s="24" t="s">
        <v>112</v>
      </c>
      <c r="P75" s="15" t="s">
        <v>231</v>
      </c>
      <c r="Q75" s="10" t="s">
        <v>221</v>
      </c>
      <c r="R75" s="32" t="s">
        <v>274</v>
      </c>
      <c r="S75" s="18" t="s">
        <v>235</v>
      </c>
      <c r="T75" s="17" t="s">
        <v>234</v>
      </c>
      <c r="U75" s="18" t="s">
        <v>235</v>
      </c>
      <c r="V75" s="18" t="s">
        <v>235</v>
      </c>
    </row>
    <row r="76" customFormat="false" ht="57.75" hidden="false" customHeight="true" outlineLevel="0" collapsed="false">
      <c r="A76" s="10" t="n">
        <v>11</v>
      </c>
      <c r="B76" s="15" t="s">
        <v>248</v>
      </c>
      <c r="C76" s="12" t="s">
        <v>225</v>
      </c>
      <c r="D76" s="5" t="n">
        <v>2.5</v>
      </c>
      <c r="E76" s="25" t="s">
        <v>34</v>
      </c>
      <c r="F76" s="15" t="s">
        <v>108</v>
      </c>
      <c r="G76" s="15" t="s">
        <v>249</v>
      </c>
      <c r="H76" s="15" t="s">
        <v>227</v>
      </c>
      <c r="I76" s="15" t="s">
        <v>361</v>
      </c>
      <c r="J76" s="15" t="s">
        <v>109</v>
      </c>
      <c r="K76" s="15" t="s">
        <v>251</v>
      </c>
      <c r="L76" s="15" t="s">
        <v>111</v>
      </c>
      <c r="M76" s="24" t="s">
        <v>107</v>
      </c>
      <c r="N76" s="15" t="s">
        <v>357</v>
      </c>
      <c r="O76" s="24" t="s">
        <v>112</v>
      </c>
      <c r="P76" s="15" t="s">
        <v>231</v>
      </c>
      <c r="Q76" s="10" t="s">
        <v>313</v>
      </c>
      <c r="R76" s="32" t="s">
        <v>274</v>
      </c>
      <c r="S76" s="18" t="s">
        <v>235</v>
      </c>
      <c r="T76" s="17" t="s">
        <v>234</v>
      </c>
      <c r="U76" s="17" t="s">
        <v>234</v>
      </c>
      <c r="V76" s="17" t="s">
        <v>234</v>
      </c>
    </row>
    <row r="77" customFormat="false" ht="54" hidden="false" customHeight="true" outlineLevel="0" collapsed="false">
      <c r="A77" s="10" t="n">
        <v>11</v>
      </c>
      <c r="B77" s="15" t="s">
        <v>252</v>
      </c>
      <c r="C77" s="30" t="s">
        <v>253</v>
      </c>
      <c r="D77" s="5" t="n">
        <v>2.5</v>
      </c>
      <c r="E77" s="25" t="s">
        <v>34</v>
      </c>
      <c r="F77" s="15" t="s">
        <v>108</v>
      </c>
      <c r="G77" s="15" t="s">
        <v>254</v>
      </c>
      <c r="H77" s="15" t="s">
        <v>255</v>
      </c>
      <c r="I77" s="15" t="s">
        <v>362</v>
      </c>
      <c r="J77" s="15" t="s">
        <v>257</v>
      </c>
      <c r="K77" s="15" t="s">
        <v>363</v>
      </c>
      <c r="L77" s="15" t="s">
        <v>111</v>
      </c>
      <c r="M77" s="24" t="s">
        <v>107</v>
      </c>
      <c r="N77" s="15" t="s">
        <v>357</v>
      </c>
      <c r="O77" s="24" t="s">
        <v>112</v>
      </c>
      <c r="P77" s="15" t="s">
        <v>231</v>
      </c>
      <c r="Q77" s="10" t="s">
        <v>307</v>
      </c>
      <c r="R77" s="32" t="s">
        <v>274</v>
      </c>
      <c r="S77" s="18" t="s">
        <v>235</v>
      </c>
      <c r="T77" s="17" t="s">
        <v>234</v>
      </c>
      <c r="U77" s="17" t="s">
        <v>234</v>
      </c>
      <c r="V77" s="17" t="s">
        <v>234</v>
      </c>
    </row>
    <row r="78" customFormat="false" ht="31.5" hidden="false" customHeight="true" outlineLevel="0" collapsed="false">
      <c r="A78" s="10" t="n">
        <v>11</v>
      </c>
      <c r="B78" s="15" t="s">
        <v>260</v>
      </c>
      <c r="C78" s="28" t="s">
        <v>261</v>
      </c>
      <c r="D78" s="10" t="n">
        <v>0</v>
      </c>
      <c r="E78" s="25" t="s">
        <v>34</v>
      </c>
      <c r="F78" s="15" t="s">
        <v>108</v>
      </c>
      <c r="G78" s="15" t="s">
        <v>262</v>
      </c>
      <c r="H78" s="15" t="s">
        <v>263</v>
      </c>
      <c r="I78" s="15" t="s">
        <v>264</v>
      </c>
      <c r="J78" s="15" t="s">
        <v>265</v>
      </c>
      <c r="K78" s="15" t="s">
        <v>266</v>
      </c>
      <c r="L78" s="15"/>
      <c r="M78" s="15"/>
      <c r="N78" s="15"/>
      <c r="O78" s="15"/>
      <c r="P78" s="15"/>
      <c r="Q78" s="31" t="s">
        <v>261</v>
      </c>
      <c r="R78" s="31" t="s">
        <v>235</v>
      </c>
      <c r="S78" s="18" t="s">
        <v>235</v>
      </c>
      <c r="T78" s="18" t="s">
        <v>235</v>
      </c>
      <c r="U78" s="18" t="s">
        <v>235</v>
      </c>
      <c r="V78" s="18" t="s">
        <v>235</v>
      </c>
    </row>
    <row r="79" customFormat="false" ht="57.75" hidden="false" customHeight="true" outlineLevel="0" collapsed="false">
      <c r="A79" s="10" t="n">
        <v>12</v>
      </c>
      <c r="B79" s="15" t="s">
        <v>224</v>
      </c>
      <c r="C79" s="12" t="s">
        <v>225</v>
      </c>
      <c r="D79" s="5" t="n">
        <v>2.5</v>
      </c>
      <c r="E79" s="25" t="s">
        <v>34</v>
      </c>
      <c r="F79" s="15" t="s">
        <v>113</v>
      </c>
      <c r="G79" s="15" t="s">
        <v>226</v>
      </c>
      <c r="H79" s="15" t="s">
        <v>227</v>
      </c>
      <c r="I79" s="15" t="s">
        <v>364</v>
      </c>
      <c r="J79" s="15" t="s">
        <v>115</v>
      </c>
      <c r="K79" s="15" t="s">
        <v>365</v>
      </c>
      <c r="L79" s="15" t="s">
        <v>116</v>
      </c>
      <c r="M79" s="24" t="s">
        <v>117</v>
      </c>
      <c r="N79" s="15" t="s">
        <v>366</v>
      </c>
      <c r="O79" s="24" t="s">
        <v>92</v>
      </c>
      <c r="P79" s="15" t="s">
        <v>231</v>
      </c>
      <c r="Q79" s="10" t="s">
        <v>221</v>
      </c>
      <c r="R79" s="29" t="s">
        <v>233</v>
      </c>
      <c r="S79" s="18" t="s">
        <v>235</v>
      </c>
      <c r="T79" s="17" t="s">
        <v>234</v>
      </c>
      <c r="U79" s="18" t="s">
        <v>235</v>
      </c>
      <c r="V79" s="18" t="s">
        <v>235</v>
      </c>
    </row>
    <row r="80" customFormat="false" ht="57.75" hidden="false" customHeight="true" outlineLevel="0" collapsed="false">
      <c r="A80" s="10" t="n">
        <v>12</v>
      </c>
      <c r="B80" s="15" t="s">
        <v>236</v>
      </c>
      <c r="C80" s="12" t="s">
        <v>225</v>
      </c>
      <c r="D80" s="5" t="n">
        <v>2.5</v>
      </c>
      <c r="E80" s="25" t="s">
        <v>34</v>
      </c>
      <c r="F80" s="15" t="s">
        <v>113</v>
      </c>
      <c r="G80" s="15" t="s">
        <v>237</v>
      </c>
      <c r="H80" s="15" t="s">
        <v>227</v>
      </c>
      <c r="I80" s="15" t="s">
        <v>367</v>
      </c>
      <c r="J80" s="15" t="s">
        <v>115</v>
      </c>
      <c r="K80" s="15" t="s">
        <v>365</v>
      </c>
      <c r="L80" s="15" t="s">
        <v>116</v>
      </c>
      <c r="M80" s="24" t="s">
        <v>117</v>
      </c>
      <c r="N80" s="15" t="s">
        <v>366</v>
      </c>
      <c r="O80" s="24" t="s">
        <v>92</v>
      </c>
      <c r="P80" s="15" t="s">
        <v>231</v>
      </c>
      <c r="Q80" s="10" t="s">
        <v>221</v>
      </c>
      <c r="R80" s="29" t="s">
        <v>233</v>
      </c>
      <c r="S80" s="18" t="s">
        <v>235</v>
      </c>
      <c r="T80" s="17" t="s">
        <v>234</v>
      </c>
      <c r="U80" s="18" t="s">
        <v>235</v>
      </c>
      <c r="V80" s="18" t="s">
        <v>235</v>
      </c>
    </row>
    <row r="81" customFormat="false" ht="57.75" hidden="false" customHeight="true" outlineLevel="0" collapsed="false">
      <c r="A81" s="10" t="n">
        <v>12</v>
      </c>
      <c r="B81" s="15" t="s">
        <v>240</v>
      </c>
      <c r="C81" s="12" t="s">
        <v>225</v>
      </c>
      <c r="D81" s="5" t="n">
        <v>2.5</v>
      </c>
      <c r="E81" s="25" t="s">
        <v>34</v>
      </c>
      <c r="F81" s="15" t="s">
        <v>113</v>
      </c>
      <c r="G81" s="15" t="s">
        <v>241</v>
      </c>
      <c r="H81" s="15" t="s">
        <v>227</v>
      </c>
      <c r="I81" s="15" t="s">
        <v>368</v>
      </c>
      <c r="J81" s="15" t="s">
        <v>115</v>
      </c>
      <c r="K81" s="15" t="s">
        <v>365</v>
      </c>
      <c r="L81" s="15" t="s">
        <v>116</v>
      </c>
      <c r="M81" s="24" t="s">
        <v>117</v>
      </c>
      <c r="N81" s="15" t="s">
        <v>366</v>
      </c>
      <c r="O81" s="24" t="s">
        <v>92</v>
      </c>
      <c r="P81" s="15" t="s">
        <v>231</v>
      </c>
      <c r="Q81" s="10" t="s">
        <v>221</v>
      </c>
      <c r="R81" s="29" t="s">
        <v>233</v>
      </c>
      <c r="S81" s="18" t="s">
        <v>235</v>
      </c>
      <c r="T81" s="17" t="s">
        <v>234</v>
      </c>
      <c r="U81" s="18" t="s">
        <v>235</v>
      </c>
      <c r="V81" s="18" t="s">
        <v>235</v>
      </c>
    </row>
    <row r="82" customFormat="false" ht="57.75" hidden="false" customHeight="true" outlineLevel="0" collapsed="false">
      <c r="A82" s="10" t="n">
        <v>12</v>
      </c>
      <c r="B82" s="15" t="s">
        <v>244</v>
      </c>
      <c r="C82" s="12" t="s">
        <v>225</v>
      </c>
      <c r="D82" s="5" t="n">
        <v>2.5</v>
      </c>
      <c r="E82" s="25" t="s">
        <v>34</v>
      </c>
      <c r="F82" s="15" t="s">
        <v>113</v>
      </c>
      <c r="G82" s="15" t="s">
        <v>245</v>
      </c>
      <c r="H82" s="15" t="s">
        <v>227</v>
      </c>
      <c r="I82" s="15" t="s">
        <v>369</v>
      </c>
      <c r="J82" s="15" t="s">
        <v>115</v>
      </c>
      <c r="K82" s="15" t="s">
        <v>365</v>
      </c>
      <c r="L82" s="15" t="s">
        <v>116</v>
      </c>
      <c r="M82" s="24" t="s">
        <v>117</v>
      </c>
      <c r="N82" s="15" t="s">
        <v>366</v>
      </c>
      <c r="O82" s="24" t="s">
        <v>92</v>
      </c>
      <c r="P82" s="15" t="s">
        <v>231</v>
      </c>
      <c r="Q82" s="10" t="s">
        <v>313</v>
      </c>
      <c r="R82" s="29" t="s">
        <v>233</v>
      </c>
      <c r="S82" s="18" t="s">
        <v>235</v>
      </c>
      <c r="T82" s="17" t="s">
        <v>234</v>
      </c>
      <c r="U82" s="17" t="s">
        <v>234</v>
      </c>
      <c r="V82" s="17" t="s">
        <v>234</v>
      </c>
    </row>
    <row r="83" customFormat="false" ht="57.75" hidden="false" customHeight="true" outlineLevel="0" collapsed="false">
      <c r="A83" s="10" t="n">
        <v>12</v>
      </c>
      <c r="B83" s="15" t="s">
        <v>248</v>
      </c>
      <c r="C83" s="12" t="s">
        <v>225</v>
      </c>
      <c r="D83" s="5" t="n">
        <v>2.5</v>
      </c>
      <c r="E83" s="25" t="s">
        <v>34</v>
      </c>
      <c r="F83" s="15" t="s">
        <v>113</v>
      </c>
      <c r="G83" s="15" t="s">
        <v>249</v>
      </c>
      <c r="H83" s="15" t="s">
        <v>227</v>
      </c>
      <c r="I83" s="15" t="s">
        <v>370</v>
      </c>
      <c r="J83" s="15" t="s">
        <v>114</v>
      </c>
      <c r="K83" s="15" t="s">
        <v>251</v>
      </c>
      <c r="L83" s="15" t="s">
        <v>116</v>
      </c>
      <c r="M83" s="24" t="s">
        <v>117</v>
      </c>
      <c r="N83" s="15" t="s">
        <v>366</v>
      </c>
      <c r="O83" s="24" t="s">
        <v>92</v>
      </c>
      <c r="P83" s="15" t="s">
        <v>231</v>
      </c>
      <c r="Q83" s="10" t="s">
        <v>221</v>
      </c>
      <c r="R83" s="29" t="s">
        <v>233</v>
      </c>
      <c r="S83" s="18" t="s">
        <v>235</v>
      </c>
      <c r="T83" s="17" t="s">
        <v>234</v>
      </c>
      <c r="U83" s="18" t="s">
        <v>235</v>
      </c>
      <c r="V83" s="18" t="s">
        <v>235</v>
      </c>
    </row>
    <row r="84" customFormat="false" ht="54" hidden="false" customHeight="true" outlineLevel="0" collapsed="false">
      <c r="A84" s="10" t="n">
        <v>12</v>
      </c>
      <c r="B84" s="15" t="s">
        <v>252</v>
      </c>
      <c r="C84" s="30" t="s">
        <v>253</v>
      </c>
      <c r="D84" s="5" t="n">
        <v>2.5</v>
      </c>
      <c r="E84" s="25" t="s">
        <v>34</v>
      </c>
      <c r="F84" s="15" t="s">
        <v>113</v>
      </c>
      <c r="G84" s="15" t="s">
        <v>254</v>
      </c>
      <c r="H84" s="15" t="s">
        <v>255</v>
      </c>
      <c r="I84" s="15" t="s">
        <v>371</v>
      </c>
      <c r="J84" s="15" t="s">
        <v>257</v>
      </c>
      <c r="K84" s="15" t="s">
        <v>372</v>
      </c>
      <c r="L84" s="15" t="s">
        <v>116</v>
      </c>
      <c r="M84" s="24" t="s">
        <v>117</v>
      </c>
      <c r="N84" s="15" t="s">
        <v>366</v>
      </c>
      <c r="O84" s="24" t="s">
        <v>92</v>
      </c>
      <c r="P84" s="15" t="s">
        <v>231</v>
      </c>
      <c r="Q84" s="10" t="s">
        <v>307</v>
      </c>
      <c r="R84" s="32" t="s">
        <v>274</v>
      </c>
      <c r="S84" s="18" t="s">
        <v>235</v>
      </c>
      <c r="T84" s="17" t="s">
        <v>234</v>
      </c>
      <c r="U84" s="17" t="s">
        <v>234</v>
      </c>
      <c r="V84" s="17" t="s">
        <v>234</v>
      </c>
    </row>
    <row r="85" customFormat="false" ht="31.5" hidden="false" customHeight="true" outlineLevel="0" collapsed="false">
      <c r="A85" s="10" t="n">
        <v>12</v>
      </c>
      <c r="B85" s="15" t="s">
        <v>260</v>
      </c>
      <c r="C85" s="28" t="s">
        <v>261</v>
      </c>
      <c r="D85" s="10" t="n">
        <v>0</v>
      </c>
      <c r="E85" s="25" t="s">
        <v>34</v>
      </c>
      <c r="F85" s="15" t="s">
        <v>113</v>
      </c>
      <c r="G85" s="15" t="s">
        <v>262</v>
      </c>
      <c r="H85" s="15" t="s">
        <v>263</v>
      </c>
      <c r="I85" s="15" t="s">
        <v>264</v>
      </c>
      <c r="J85" s="15" t="s">
        <v>265</v>
      </c>
      <c r="K85" s="15" t="s">
        <v>266</v>
      </c>
      <c r="L85" s="15"/>
      <c r="M85" s="15"/>
      <c r="N85" s="15"/>
      <c r="O85" s="15"/>
      <c r="P85" s="15"/>
      <c r="Q85" s="31" t="s">
        <v>261</v>
      </c>
      <c r="R85" s="31" t="s">
        <v>235</v>
      </c>
      <c r="S85" s="18" t="s">
        <v>235</v>
      </c>
      <c r="T85" s="18" t="s">
        <v>235</v>
      </c>
      <c r="U85" s="18" t="s">
        <v>235</v>
      </c>
      <c r="V85" s="18" t="s">
        <v>235</v>
      </c>
    </row>
    <row r="86" customFormat="false" ht="57.75" hidden="false" customHeight="true" outlineLevel="0" collapsed="false">
      <c r="A86" s="10" t="n">
        <v>13</v>
      </c>
      <c r="B86" s="15" t="s">
        <v>224</v>
      </c>
      <c r="C86" s="12" t="s">
        <v>225</v>
      </c>
      <c r="D86" s="5" t="n">
        <v>2.5</v>
      </c>
      <c r="E86" s="26" t="s">
        <v>38</v>
      </c>
      <c r="F86" s="15" t="s">
        <v>118</v>
      </c>
      <c r="G86" s="15" t="s">
        <v>226</v>
      </c>
      <c r="H86" s="15" t="s">
        <v>227</v>
      </c>
      <c r="I86" s="15" t="s">
        <v>373</v>
      </c>
      <c r="J86" s="15" t="s">
        <v>120</v>
      </c>
      <c r="K86" s="15" t="s">
        <v>374</v>
      </c>
      <c r="L86" s="15" t="s">
        <v>118</v>
      </c>
      <c r="M86" s="24" t="s">
        <v>121</v>
      </c>
      <c r="N86" s="15" t="s">
        <v>375</v>
      </c>
      <c r="O86" s="24" t="s">
        <v>82</v>
      </c>
      <c r="P86" s="15" t="s">
        <v>231</v>
      </c>
      <c r="Q86" s="10" t="s">
        <v>239</v>
      </c>
      <c r="R86" s="29" t="s">
        <v>233</v>
      </c>
      <c r="S86" s="17" t="s">
        <v>234</v>
      </c>
      <c r="T86" s="17" t="s">
        <v>234</v>
      </c>
      <c r="U86" s="18" t="s">
        <v>235</v>
      </c>
      <c r="V86" s="18" t="s">
        <v>235</v>
      </c>
    </row>
    <row r="87" customFormat="false" ht="57.75" hidden="false" customHeight="true" outlineLevel="0" collapsed="false">
      <c r="A87" s="10" t="n">
        <v>13</v>
      </c>
      <c r="B87" s="15" t="s">
        <v>236</v>
      </c>
      <c r="C87" s="12" t="s">
        <v>225</v>
      </c>
      <c r="D87" s="5" t="n">
        <v>2.5</v>
      </c>
      <c r="E87" s="26" t="s">
        <v>38</v>
      </c>
      <c r="F87" s="15" t="s">
        <v>118</v>
      </c>
      <c r="G87" s="15" t="s">
        <v>237</v>
      </c>
      <c r="H87" s="15" t="s">
        <v>227</v>
      </c>
      <c r="I87" s="15" t="s">
        <v>376</v>
      </c>
      <c r="J87" s="15" t="s">
        <v>120</v>
      </c>
      <c r="K87" s="15" t="s">
        <v>374</v>
      </c>
      <c r="L87" s="15" t="s">
        <v>118</v>
      </c>
      <c r="M87" s="24" t="s">
        <v>121</v>
      </c>
      <c r="N87" s="15" t="s">
        <v>375</v>
      </c>
      <c r="O87" s="24" t="s">
        <v>82</v>
      </c>
      <c r="P87" s="15" t="s">
        <v>231</v>
      </c>
      <c r="Q87" s="10" t="s">
        <v>239</v>
      </c>
      <c r="R87" s="29" t="s">
        <v>233</v>
      </c>
      <c r="S87" s="17" t="s">
        <v>234</v>
      </c>
      <c r="T87" s="17" t="s">
        <v>234</v>
      </c>
      <c r="U87" s="18" t="s">
        <v>235</v>
      </c>
      <c r="V87" s="18" t="s">
        <v>235</v>
      </c>
    </row>
    <row r="88" customFormat="false" ht="57.75" hidden="false" customHeight="true" outlineLevel="0" collapsed="false">
      <c r="A88" s="10" t="n">
        <v>13</v>
      </c>
      <c r="B88" s="15" t="s">
        <v>240</v>
      </c>
      <c r="C88" s="12" t="s">
        <v>225</v>
      </c>
      <c r="D88" s="5" t="n">
        <v>2.5</v>
      </c>
      <c r="E88" s="26" t="s">
        <v>38</v>
      </c>
      <c r="F88" s="15" t="s">
        <v>118</v>
      </c>
      <c r="G88" s="15" t="s">
        <v>241</v>
      </c>
      <c r="H88" s="15" t="s">
        <v>227</v>
      </c>
      <c r="I88" s="15" t="s">
        <v>377</v>
      </c>
      <c r="J88" s="15" t="s">
        <v>120</v>
      </c>
      <c r="K88" s="15" t="s">
        <v>374</v>
      </c>
      <c r="L88" s="15" t="s">
        <v>118</v>
      </c>
      <c r="M88" s="24" t="s">
        <v>121</v>
      </c>
      <c r="N88" s="15" t="s">
        <v>375</v>
      </c>
      <c r="O88" s="24" t="s">
        <v>82</v>
      </c>
      <c r="P88" s="15" t="s">
        <v>231</v>
      </c>
      <c r="Q88" s="10" t="s">
        <v>239</v>
      </c>
      <c r="R88" s="29" t="s">
        <v>233</v>
      </c>
      <c r="S88" s="17" t="s">
        <v>234</v>
      </c>
      <c r="T88" s="17" t="s">
        <v>234</v>
      </c>
      <c r="U88" s="18" t="s">
        <v>235</v>
      </c>
      <c r="V88" s="18" t="s">
        <v>235</v>
      </c>
    </row>
    <row r="89" customFormat="false" ht="57.75" hidden="false" customHeight="true" outlineLevel="0" collapsed="false">
      <c r="A89" s="10" t="n">
        <v>13</v>
      </c>
      <c r="B89" s="15" t="s">
        <v>244</v>
      </c>
      <c r="C89" s="12" t="s">
        <v>225</v>
      </c>
      <c r="D89" s="5" t="n">
        <v>2.5</v>
      </c>
      <c r="E89" s="26" t="s">
        <v>38</v>
      </c>
      <c r="F89" s="15" t="s">
        <v>118</v>
      </c>
      <c r="G89" s="15" t="s">
        <v>245</v>
      </c>
      <c r="H89" s="15" t="s">
        <v>227</v>
      </c>
      <c r="I89" s="15" t="s">
        <v>378</v>
      </c>
      <c r="J89" s="15" t="s">
        <v>120</v>
      </c>
      <c r="K89" s="15" t="s">
        <v>374</v>
      </c>
      <c r="L89" s="15" t="s">
        <v>118</v>
      </c>
      <c r="M89" s="24" t="s">
        <v>121</v>
      </c>
      <c r="N89" s="15" t="s">
        <v>375</v>
      </c>
      <c r="O89" s="24" t="s">
        <v>82</v>
      </c>
      <c r="P89" s="15" t="s">
        <v>231</v>
      </c>
      <c r="Q89" s="10" t="s">
        <v>243</v>
      </c>
      <c r="R89" s="32" t="s">
        <v>274</v>
      </c>
      <c r="S89" s="17" t="s">
        <v>234</v>
      </c>
      <c r="T89" s="17" t="s">
        <v>234</v>
      </c>
      <c r="U89" s="17" t="s">
        <v>234</v>
      </c>
      <c r="V89" s="17" t="s">
        <v>234</v>
      </c>
    </row>
    <row r="90" customFormat="false" ht="57.75" hidden="false" customHeight="true" outlineLevel="0" collapsed="false">
      <c r="A90" s="10" t="n">
        <v>13</v>
      </c>
      <c r="B90" s="15" t="s">
        <v>248</v>
      </c>
      <c r="C90" s="12" t="s">
        <v>225</v>
      </c>
      <c r="D90" s="5" t="n">
        <v>2.5</v>
      </c>
      <c r="E90" s="26" t="s">
        <v>38</v>
      </c>
      <c r="F90" s="15" t="s">
        <v>118</v>
      </c>
      <c r="G90" s="15" t="s">
        <v>249</v>
      </c>
      <c r="H90" s="15" t="s">
        <v>227</v>
      </c>
      <c r="I90" s="15" t="s">
        <v>379</v>
      </c>
      <c r="J90" s="15" t="s">
        <v>119</v>
      </c>
      <c r="K90" s="15" t="s">
        <v>251</v>
      </c>
      <c r="L90" s="15" t="s">
        <v>118</v>
      </c>
      <c r="M90" s="24" t="s">
        <v>121</v>
      </c>
      <c r="N90" s="15" t="s">
        <v>375</v>
      </c>
      <c r="O90" s="24" t="s">
        <v>82</v>
      </c>
      <c r="P90" s="15" t="s">
        <v>231</v>
      </c>
      <c r="Q90" s="10" t="s">
        <v>243</v>
      </c>
      <c r="R90" s="29" t="s">
        <v>233</v>
      </c>
      <c r="S90" s="17" t="s">
        <v>234</v>
      </c>
      <c r="T90" s="17" t="s">
        <v>234</v>
      </c>
      <c r="U90" s="17" t="s">
        <v>234</v>
      </c>
      <c r="V90" s="17" t="s">
        <v>234</v>
      </c>
    </row>
    <row r="91" customFormat="false" ht="54" hidden="false" customHeight="true" outlineLevel="0" collapsed="false">
      <c r="A91" s="10" t="n">
        <v>13</v>
      </c>
      <c r="B91" s="15" t="s">
        <v>252</v>
      </c>
      <c r="C91" s="30" t="s">
        <v>253</v>
      </c>
      <c r="D91" s="5" t="n">
        <v>2.5</v>
      </c>
      <c r="E91" s="26" t="s">
        <v>38</v>
      </c>
      <c r="F91" s="15" t="s">
        <v>118</v>
      </c>
      <c r="G91" s="15" t="s">
        <v>254</v>
      </c>
      <c r="H91" s="15" t="s">
        <v>255</v>
      </c>
      <c r="I91" s="15" t="s">
        <v>380</v>
      </c>
      <c r="J91" s="15" t="s">
        <v>257</v>
      </c>
      <c r="K91" s="15" t="s">
        <v>381</v>
      </c>
      <c r="L91" s="15" t="s">
        <v>118</v>
      </c>
      <c r="M91" s="24" t="s">
        <v>121</v>
      </c>
      <c r="N91" s="15" t="s">
        <v>375</v>
      </c>
      <c r="O91" s="24" t="s">
        <v>82</v>
      </c>
      <c r="P91" s="15" t="s">
        <v>231</v>
      </c>
      <c r="Q91" s="10" t="s">
        <v>259</v>
      </c>
      <c r="R91" s="29" t="s">
        <v>233</v>
      </c>
      <c r="S91" s="17" t="s">
        <v>234</v>
      </c>
      <c r="T91" s="17" t="s">
        <v>234</v>
      </c>
      <c r="U91" s="17" t="s">
        <v>234</v>
      </c>
      <c r="V91" s="17" t="s">
        <v>234</v>
      </c>
    </row>
    <row r="92" customFormat="false" ht="31.5" hidden="false" customHeight="true" outlineLevel="0" collapsed="false">
      <c r="A92" s="10" t="n">
        <v>13</v>
      </c>
      <c r="B92" s="15" t="s">
        <v>260</v>
      </c>
      <c r="C92" s="28" t="s">
        <v>261</v>
      </c>
      <c r="D92" s="10" t="n">
        <v>0</v>
      </c>
      <c r="E92" s="26" t="s">
        <v>38</v>
      </c>
      <c r="F92" s="15" t="s">
        <v>118</v>
      </c>
      <c r="G92" s="15" t="s">
        <v>262</v>
      </c>
      <c r="H92" s="15" t="s">
        <v>263</v>
      </c>
      <c r="I92" s="15" t="s">
        <v>264</v>
      </c>
      <c r="J92" s="15" t="s">
        <v>265</v>
      </c>
      <c r="K92" s="15" t="s">
        <v>266</v>
      </c>
      <c r="L92" s="15"/>
      <c r="M92" s="15"/>
      <c r="N92" s="15"/>
      <c r="O92" s="15"/>
      <c r="P92" s="15"/>
      <c r="Q92" s="31" t="s">
        <v>261</v>
      </c>
      <c r="R92" s="31" t="s">
        <v>235</v>
      </c>
      <c r="S92" s="18" t="s">
        <v>235</v>
      </c>
      <c r="T92" s="18" t="s">
        <v>235</v>
      </c>
      <c r="U92" s="18" t="s">
        <v>235</v>
      </c>
      <c r="V92" s="18" t="s">
        <v>235</v>
      </c>
    </row>
    <row r="93" customFormat="false" ht="57.75" hidden="false" customHeight="true" outlineLevel="0" collapsed="false">
      <c r="A93" s="10" t="n">
        <v>14</v>
      </c>
      <c r="B93" s="15" t="s">
        <v>224</v>
      </c>
      <c r="C93" s="12" t="s">
        <v>225</v>
      </c>
      <c r="D93" s="5" t="n">
        <v>2.5</v>
      </c>
      <c r="E93" s="26" t="s">
        <v>38</v>
      </c>
      <c r="F93" s="15" t="s">
        <v>122</v>
      </c>
      <c r="G93" s="15" t="s">
        <v>226</v>
      </c>
      <c r="H93" s="15" t="s">
        <v>227</v>
      </c>
      <c r="I93" s="15" t="s">
        <v>382</v>
      </c>
      <c r="J93" s="15" t="s">
        <v>124</v>
      </c>
      <c r="K93" s="15" t="s">
        <v>383</v>
      </c>
      <c r="L93" s="15" t="s">
        <v>125</v>
      </c>
      <c r="M93" s="24" t="s">
        <v>126</v>
      </c>
      <c r="N93" s="15" t="s">
        <v>384</v>
      </c>
      <c r="O93" s="15"/>
      <c r="P93" s="15" t="s">
        <v>231</v>
      </c>
      <c r="Q93" s="10" t="s">
        <v>239</v>
      </c>
      <c r="R93" s="29" t="s">
        <v>233</v>
      </c>
      <c r="S93" s="17" t="s">
        <v>234</v>
      </c>
      <c r="T93" s="17" t="s">
        <v>234</v>
      </c>
      <c r="U93" s="18" t="s">
        <v>235</v>
      </c>
      <c r="V93" s="18" t="s">
        <v>235</v>
      </c>
    </row>
    <row r="94" customFormat="false" ht="57.75" hidden="false" customHeight="true" outlineLevel="0" collapsed="false">
      <c r="A94" s="10" t="n">
        <v>14</v>
      </c>
      <c r="B94" s="15" t="s">
        <v>236</v>
      </c>
      <c r="C94" s="12" t="s">
        <v>225</v>
      </c>
      <c r="D94" s="5" t="n">
        <v>2.5</v>
      </c>
      <c r="E94" s="26" t="s">
        <v>38</v>
      </c>
      <c r="F94" s="15" t="s">
        <v>122</v>
      </c>
      <c r="G94" s="15" t="s">
        <v>237</v>
      </c>
      <c r="H94" s="15" t="s">
        <v>227</v>
      </c>
      <c r="I94" s="15" t="s">
        <v>385</v>
      </c>
      <c r="J94" s="15" t="s">
        <v>124</v>
      </c>
      <c r="K94" s="15" t="s">
        <v>383</v>
      </c>
      <c r="L94" s="15" t="s">
        <v>125</v>
      </c>
      <c r="M94" s="24" t="s">
        <v>126</v>
      </c>
      <c r="N94" s="15" t="s">
        <v>384</v>
      </c>
      <c r="O94" s="15"/>
      <c r="P94" s="15" t="s">
        <v>231</v>
      </c>
      <c r="Q94" s="10" t="s">
        <v>239</v>
      </c>
      <c r="R94" s="32" t="s">
        <v>274</v>
      </c>
      <c r="S94" s="17" t="s">
        <v>234</v>
      </c>
      <c r="T94" s="17" t="s">
        <v>234</v>
      </c>
      <c r="U94" s="18" t="s">
        <v>235</v>
      </c>
      <c r="V94" s="18" t="s">
        <v>235</v>
      </c>
    </row>
    <row r="95" customFormat="false" ht="57.75" hidden="false" customHeight="true" outlineLevel="0" collapsed="false">
      <c r="A95" s="10" t="n">
        <v>14</v>
      </c>
      <c r="B95" s="15" t="s">
        <v>240</v>
      </c>
      <c r="C95" s="12" t="s">
        <v>225</v>
      </c>
      <c r="D95" s="5" t="n">
        <v>2.5</v>
      </c>
      <c r="E95" s="26" t="s">
        <v>38</v>
      </c>
      <c r="F95" s="15" t="s">
        <v>122</v>
      </c>
      <c r="G95" s="15" t="s">
        <v>241</v>
      </c>
      <c r="H95" s="15" t="s">
        <v>227</v>
      </c>
      <c r="I95" s="15" t="s">
        <v>386</v>
      </c>
      <c r="J95" s="15" t="s">
        <v>124</v>
      </c>
      <c r="K95" s="15" t="s">
        <v>383</v>
      </c>
      <c r="L95" s="15" t="s">
        <v>125</v>
      </c>
      <c r="M95" s="24" t="s">
        <v>126</v>
      </c>
      <c r="N95" s="15" t="s">
        <v>384</v>
      </c>
      <c r="O95" s="15"/>
      <c r="P95" s="15" t="s">
        <v>231</v>
      </c>
      <c r="Q95" s="10" t="s">
        <v>243</v>
      </c>
      <c r="R95" s="29" t="s">
        <v>233</v>
      </c>
      <c r="S95" s="17" t="s">
        <v>234</v>
      </c>
      <c r="T95" s="17" t="s">
        <v>234</v>
      </c>
      <c r="U95" s="17" t="s">
        <v>234</v>
      </c>
      <c r="V95" s="17" t="s">
        <v>234</v>
      </c>
    </row>
    <row r="96" customFormat="false" ht="57.75" hidden="false" customHeight="true" outlineLevel="0" collapsed="false">
      <c r="A96" s="10" t="n">
        <v>14</v>
      </c>
      <c r="B96" s="15" t="s">
        <v>244</v>
      </c>
      <c r="C96" s="12" t="s">
        <v>225</v>
      </c>
      <c r="D96" s="5" t="n">
        <v>2.5</v>
      </c>
      <c r="E96" s="26" t="s">
        <v>38</v>
      </c>
      <c r="F96" s="15" t="s">
        <v>122</v>
      </c>
      <c r="G96" s="15" t="s">
        <v>245</v>
      </c>
      <c r="H96" s="15" t="s">
        <v>227</v>
      </c>
      <c r="I96" s="15" t="s">
        <v>387</v>
      </c>
      <c r="J96" s="15" t="s">
        <v>124</v>
      </c>
      <c r="K96" s="15" t="s">
        <v>383</v>
      </c>
      <c r="L96" s="15" t="s">
        <v>125</v>
      </c>
      <c r="M96" s="24" t="s">
        <v>126</v>
      </c>
      <c r="N96" s="15" t="s">
        <v>384</v>
      </c>
      <c r="O96" s="15"/>
      <c r="P96" s="15" t="s">
        <v>231</v>
      </c>
      <c r="Q96" s="10" t="s">
        <v>239</v>
      </c>
      <c r="R96" s="29" t="s">
        <v>233</v>
      </c>
      <c r="S96" s="17" t="s">
        <v>234</v>
      </c>
      <c r="T96" s="17" t="s">
        <v>234</v>
      </c>
      <c r="U96" s="18" t="s">
        <v>235</v>
      </c>
      <c r="V96" s="18" t="s">
        <v>235</v>
      </c>
    </row>
    <row r="97" customFormat="false" ht="57.75" hidden="false" customHeight="true" outlineLevel="0" collapsed="false">
      <c r="A97" s="10" t="n">
        <v>14</v>
      </c>
      <c r="B97" s="15" t="s">
        <v>248</v>
      </c>
      <c r="C97" s="12" t="s">
        <v>225</v>
      </c>
      <c r="D97" s="5" t="n">
        <v>2.5</v>
      </c>
      <c r="E97" s="26" t="s">
        <v>38</v>
      </c>
      <c r="F97" s="15" t="s">
        <v>122</v>
      </c>
      <c r="G97" s="15" t="s">
        <v>249</v>
      </c>
      <c r="H97" s="15" t="s">
        <v>227</v>
      </c>
      <c r="I97" s="15" t="s">
        <v>388</v>
      </c>
      <c r="J97" s="15" t="s">
        <v>123</v>
      </c>
      <c r="K97" s="15" t="s">
        <v>251</v>
      </c>
      <c r="L97" s="15" t="s">
        <v>125</v>
      </c>
      <c r="M97" s="24" t="s">
        <v>126</v>
      </c>
      <c r="N97" s="15" t="s">
        <v>384</v>
      </c>
      <c r="O97" s="15"/>
      <c r="P97" s="15" t="s">
        <v>231</v>
      </c>
      <c r="Q97" s="10" t="s">
        <v>243</v>
      </c>
      <c r="R97" s="29" t="s">
        <v>233</v>
      </c>
      <c r="S97" s="17" t="s">
        <v>234</v>
      </c>
      <c r="T97" s="17" t="s">
        <v>234</v>
      </c>
      <c r="U97" s="17" t="s">
        <v>234</v>
      </c>
      <c r="V97" s="17" t="s">
        <v>234</v>
      </c>
    </row>
    <row r="98" customFormat="false" ht="54" hidden="false" customHeight="true" outlineLevel="0" collapsed="false">
      <c r="A98" s="10" t="n">
        <v>14</v>
      </c>
      <c r="B98" s="15" t="s">
        <v>252</v>
      </c>
      <c r="C98" s="30" t="s">
        <v>253</v>
      </c>
      <c r="D98" s="5" t="n">
        <v>2.5</v>
      </c>
      <c r="E98" s="26" t="s">
        <v>38</v>
      </c>
      <c r="F98" s="15" t="s">
        <v>122</v>
      </c>
      <c r="G98" s="15" t="s">
        <v>254</v>
      </c>
      <c r="H98" s="15" t="s">
        <v>255</v>
      </c>
      <c r="I98" s="15" t="s">
        <v>389</v>
      </c>
      <c r="J98" s="15" t="s">
        <v>257</v>
      </c>
      <c r="K98" s="15" t="s">
        <v>390</v>
      </c>
      <c r="L98" s="15" t="s">
        <v>125</v>
      </c>
      <c r="M98" s="24" t="s">
        <v>126</v>
      </c>
      <c r="N98" s="15" t="s">
        <v>384</v>
      </c>
      <c r="O98" s="15"/>
      <c r="P98" s="15" t="s">
        <v>231</v>
      </c>
      <c r="Q98" s="10" t="s">
        <v>259</v>
      </c>
      <c r="R98" s="29" t="s">
        <v>233</v>
      </c>
      <c r="S98" s="17" t="s">
        <v>234</v>
      </c>
      <c r="T98" s="17" t="s">
        <v>234</v>
      </c>
      <c r="U98" s="17" t="s">
        <v>234</v>
      </c>
      <c r="V98" s="17" t="s">
        <v>234</v>
      </c>
    </row>
    <row r="99" customFormat="false" ht="31.5" hidden="false" customHeight="true" outlineLevel="0" collapsed="false">
      <c r="A99" s="10" t="n">
        <v>14</v>
      </c>
      <c r="B99" s="15" t="s">
        <v>260</v>
      </c>
      <c r="C99" s="28" t="s">
        <v>261</v>
      </c>
      <c r="D99" s="10" t="n">
        <v>0</v>
      </c>
      <c r="E99" s="26" t="s">
        <v>38</v>
      </c>
      <c r="F99" s="15" t="s">
        <v>122</v>
      </c>
      <c r="G99" s="15" t="s">
        <v>262</v>
      </c>
      <c r="H99" s="15" t="s">
        <v>263</v>
      </c>
      <c r="I99" s="15" t="s">
        <v>264</v>
      </c>
      <c r="J99" s="15" t="s">
        <v>265</v>
      </c>
      <c r="K99" s="15" t="s">
        <v>266</v>
      </c>
      <c r="L99" s="15"/>
      <c r="M99" s="15"/>
      <c r="N99" s="15"/>
      <c r="O99" s="15"/>
      <c r="P99" s="15"/>
      <c r="Q99" s="31" t="s">
        <v>261</v>
      </c>
      <c r="R99" s="31" t="s">
        <v>235</v>
      </c>
      <c r="S99" s="18" t="s">
        <v>235</v>
      </c>
      <c r="T99" s="18" t="s">
        <v>235</v>
      </c>
      <c r="U99" s="18" t="s">
        <v>235</v>
      </c>
      <c r="V99" s="18" t="s">
        <v>235</v>
      </c>
    </row>
    <row r="100" customFormat="false" ht="57.75" hidden="false" customHeight="true" outlineLevel="0" collapsed="false">
      <c r="A100" s="10" t="n">
        <v>15</v>
      </c>
      <c r="B100" s="15" t="s">
        <v>224</v>
      </c>
      <c r="C100" s="12" t="s">
        <v>225</v>
      </c>
      <c r="D100" s="5" t="n">
        <v>2.5</v>
      </c>
      <c r="E100" s="26" t="s">
        <v>38</v>
      </c>
      <c r="F100" s="15" t="s">
        <v>127</v>
      </c>
      <c r="G100" s="15" t="s">
        <v>226</v>
      </c>
      <c r="H100" s="15" t="s">
        <v>227</v>
      </c>
      <c r="I100" s="15" t="s">
        <v>391</v>
      </c>
      <c r="J100" s="15" t="s">
        <v>129</v>
      </c>
      <c r="K100" s="15" t="s">
        <v>392</v>
      </c>
      <c r="L100" s="15" t="s">
        <v>127</v>
      </c>
      <c r="M100" s="24" t="s">
        <v>130</v>
      </c>
      <c r="N100" s="15" t="s">
        <v>111</v>
      </c>
      <c r="O100" s="24" t="s">
        <v>107</v>
      </c>
      <c r="P100" s="15" t="s">
        <v>231</v>
      </c>
      <c r="Q100" s="10" t="s">
        <v>393</v>
      </c>
      <c r="R100" s="29" t="s">
        <v>233</v>
      </c>
      <c r="S100" s="17" t="s">
        <v>234</v>
      </c>
      <c r="T100" s="17" t="s">
        <v>234</v>
      </c>
      <c r="U100" s="17" t="s">
        <v>234</v>
      </c>
      <c r="V100" s="18" t="s">
        <v>235</v>
      </c>
    </row>
    <row r="101" customFormat="false" ht="57.75" hidden="false" customHeight="true" outlineLevel="0" collapsed="false">
      <c r="A101" s="10" t="n">
        <v>15</v>
      </c>
      <c r="B101" s="15" t="s">
        <v>236</v>
      </c>
      <c r="C101" s="12" t="s">
        <v>225</v>
      </c>
      <c r="D101" s="5" t="n">
        <v>2.5</v>
      </c>
      <c r="E101" s="26" t="s">
        <v>38</v>
      </c>
      <c r="F101" s="15" t="s">
        <v>127</v>
      </c>
      <c r="G101" s="15" t="s">
        <v>237</v>
      </c>
      <c r="H101" s="15" t="s">
        <v>227</v>
      </c>
      <c r="I101" s="15" t="s">
        <v>394</v>
      </c>
      <c r="J101" s="15" t="s">
        <v>129</v>
      </c>
      <c r="K101" s="15" t="s">
        <v>392</v>
      </c>
      <c r="L101" s="15" t="s">
        <v>127</v>
      </c>
      <c r="M101" s="24" t="s">
        <v>130</v>
      </c>
      <c r="N101" s="15" t="s">
        <v>111</v>
      </c>
      <c r="O101" s="24" t="s">
        <v>107</v>
      </c>
      <c r="P101" s="15" t="s">
        <v>231</v>
      </c>
      <c r="Q101" s="10" t="s">
        <v>239</v>
      </c>
      <c r="R101" s="32" t="s">
        <v>274</v>
      </c>
      <c r="S101" s="17" t="s">
        <v>234</v>
      </c>
      <c r="T101" s="17" t="s">
        <v>234</v>
      </c>
      <c r="U101" s="18" t="s">
        <v>235</v>
      </c>
      <c r="V101" s="18" t="s">
        <v>235</v>
      </c>
    </row>
    <row r="102" customFormat="false" ht="57.75" hidden="false" customHeight="true" outlineLevel="0" collapsed="false">
      <c r="A102" s="10" t="n">
        <v>15</v>
      </c>
      <c r="B102" s="15" t="s">
        <v>240</v>
      </c>
      <c r="C102" s="12" t="s">
        <v>225</v>
      </c>
      <c r="D102" s="5" t="n">
        <v>2.5</v>
      </c>
      <c r="E102" s="26" t="s">
        <v>38</v>
      </c>
      <c r="F102" s="15" t="s">
        <v>127</v>
      </c>
      <c r="G102" s="15" t="s">
        <v>241</v>
      </c>
      <c r="H102" s="15" t="s">
        <v>227</v>
      </c>
      <c r="I102" s="15" t="s">
        <v>395</v>
      </c>
      <c r="J102" s="15" t="s">
        <v>129</v>
      </c>
      <c r="K102" s="15" t="s">
        <v>392</v>
      </c>
      <c r="L102" s="15" t="s">
        <v>127</v>
      </c>
      <c r="M102" s="24" t="s">
        <v>130</v>
      </c>
      <c r="N102" s="15" t="s">
        <v>111</v>
      </c>
      <c r="O102" s="24" t="s">
        <v>107</v>
      </c>
      <c r="P102" s="15" t="s">
        <v>231</v>
      </c>
      <c r="Q102" s="10" t="s">
        <v>270</v>
      </c>
      <c r="R102" s="29" t="s">
        <v>233</v>
      </c>
      <c r="S102" s="17" t="s">
        <v>234</v>
      </c>
      <c r="T102" s="17" t="s">
        <v>234</v>
      </c>
      <c r="U102" s="18" t="s">
        <v>235</v>
      </c>
      <c r="V102" s="17" t="s">
        <v>234</v>
      </c>
    </row>
    <row r="103" customFormat="false" ht="57.75" hidden="false" customHeight="true" outlineLevel="0" collapsed="false">
      <c r="A103" s="10" t="n">
        <v>15</v>
      </c>
      <c r="B103" s="15" t="s">
        <v>244</v>
      </c>
      <c r="C103" s="12" t="s">
        <v>225</v>
      </c>
      <c r="D103" s="5" t="n">
        <v>2.5</v>
      </c>
      <c r="E103" s="26" t="s">
        <v>38</v>
      </c>
      <c r="F103" s="15" t="s">
        <v>127</v>
      </c>
      <c r="G103" s="15" t="s">
        <v>245</v>
      </c>
      <c r="H103" s="15" t="s">
        <v>227</v>
      </c>
      <c r="I103" s="15" t="s">
        <v>396</v>
      </c>
      <c r="J103" s="15" t="s">
        <v>129</v>
      </c>
      <c r="K103" s="15" t="s">
        <v>392</v>
      </c>
      <c r="L103" s="15" t="s">
        <v>127</v>
      </c>
      <c r="M103" s="24" t="s">
        <v>130</v>
      </c>
      <c r="N103" s="15" t="s">
        <v>111</v>
      </c>
      <c r="O103" s="24" t="s">
        <v>107</v>
      </c>
      <c r="P103" s="15" t="s">
        <v>231</v>
      </c>
      <c r="Q103" s="10" t="s">
        <v>239</v>
      </c>
      <c r="R103" s="29" t="s">
        <v>233</v>
      </c>
      <c r="S103" s="17" t="s">
        <v>234</v>
      </c>
      <c r="T103" s="17" t="s">
        <v>234</v>
      </c>
      <c r="U103" s="18" t="s">
        <v>235</v>
      </c>
      <c r="V103" s="18" t="s">
        <v>235</v>
      </c>
    </row>
    <row r="104" customFormat="false" ht="57.75" hidden="false" customHeight="true" outlineLevel="0" collapsed="false">
      <c r="A104" s="10" t="n">
        <v>15</v>
      </c>
      <c r="B104" s="15" t="s">
        <v>248</v>
      </c>
      <c r="C104" s="12" t="s">
        <v>225</v>
      </c>
      <c r="D104" s="5" t="n">
        <v>2.5</v>
      </c>
      <c r="E104" s="26" t="s">
        <v>38</v>
      </c>
      <c r="F104" s="15" t="s">
        <v>127</v>
      </c>
      <c r="G104" s="15" t="s">
        <v>249</v>
      </c>
      <c r="H104" s="15" t="s">
        <v>227</v>
      </c>
      <c r="I104" s="15" t="s">
        <v>397</v>
      </c>
      <c r="J104" s="15" t="s">
        <v>128</v>
      </c>
      <c r="K104" s="15" t="s">
        <v>251</v>
      </c>
      <c r="L104" s="15" t="s">
        <v>127</v>
      </c>
      <c r="M104" s="24" t="s">
        <v>130</v>
      </c>
      <c r="N104" s="15" t="s">
        <v>111</v>
      </c>
      <c r="O104" s="24" t="s">
        <v>107</v>
      </c>
      <c r="P104" s="15" t="s">
        <v>231</v>
      </c>
      <c r="Q104" s="10" t="s">
        <v>243</v>
      </c>
      <c r="R104" s="32" t="s">
        <v>274</v>
      </c>
      <c r="S104" s="17" t="s">
        <v>234</v>
      </c>
      <c r="T104" s="17" t="s">
        <v>234</v>
      </c>
      <c r="U104" s="17" t="s">
        <v>234</v>
      </c>
      <c r="V104" s="17" t="s">
        <v>234</v>
      </c>
    </row>
    <row r="105" customFormat="false" ht="54" hidden="false" customHeight="true" outlineLevel="0" collapsed="false">
      <c r="A105" s="10" t="n">
        <v>15</v>
      </c>
      <c r="B105" s="15" t="s">
        <v>252</v>
      </c>
      <c r="C105" s="30" t="s">
        <v>253</v>
      </c>
      <c r="D105" s="5" t="n">
        <v>2.5</v>
      </c>
      <c r="E105" s="26" t="s">
        <v>38</v>
      </c>
      <c r="F105" s="15" t="s">
        <v>127</v>
      </c>
      <c r="G105" s="15" t="s">
        <v>254</v>
      </c>
      <c r="H105" s="15" t="s">
        <v>255</v>
      </c>
      <c r="I105" s="15" t="s">
        <v>398</v>
      </c>
      <c r="J105" s="15" t="s">
        <v>257</v>
      </c>
      <c r="K105" s="15" t="s">
        <v>399</v>
      </c>
      <c r="L105" s="15" t="s">
        <v>127</v>
      </c>
      <c r="M105" s="24" t="s">
        <v>130</v>
      </c>
      <c r="N105" s="15" t="s">
        <v>111</v>
      </c>
      <c r="O105" s="24" t="s">
        <v>107</v>
      </c>
      <c r="P105" s="15" t="s">
        <v>231</v>
      </c>
      <c r="Q105" s="10" t="s">
        <v>259</v>
      </c>
      <c r="R105" s="29" t="s">
        <v>233</v>
      </c>
      <c r="S105" s="17" t="s">
        <v>234</v>
      </c>
      <c r="T105" s="17" t="s">
        <v>234</v>
      </c>
      <c r="U105" s="17" t="s">
        <v>234</v>
      </c>
      <c r="V105" s="17" t="s">
        <v>234</v>
      </c>
    </row>
    <row r="106" customFormat="false" ht="31.5" hidden="false" customHeight="true" outlineLevel="0" collapsed="false">
      <c r="A106" s="10" t="n">
        <v>15</v>
      </c>
      <c r="B106" s="15" t="s">
        <v>260</v>
      </c>
      <c r="C106" s="28" t="s">
        <v>261</v>
      </c>
      <c r="D106" s="10" t="n">
        <v>0</v>
      </c>
      <c r="E106" s="26" t="s">
        <v>38</v>
      </c>
      <c r="F106" s="15" t="s">
        <v>127</v>
      </c>
      <c r="G106" s="15" t="s">
        <v>262</v>
      </c>
      <c r="H106" s="15" t="s">
        <v>263</v>
      </c>
      <c r="I106" s="15" t="s">
        <v>264</v>
      </c>
      <c r="J106" s="15" t="s">
        <v>265</v>
      </c>
      <c r="K106" s="15" t="s">
        <v>266</v>
      </c>
      <c r="L106" s="15"/>
      <c r="M106" s="15"/>
      <c r="N106" s="15"/>
      <c r="O106" s="15"/>
      <c r="P106" s="15"/>
      <c r="Q106" s="31" t="s">
        <v>261</v>
      </c>
      <c r="R106" s="31" t="s">
        <v>235</v>
      </c>
      <c r="S106" s="18" t="s">
        <v>235</v>
      </c>
      <c r="T106" s="18" t="s">
        <v>235</v>
      </c>
      <c r="U106" s="18" t="s">
        <v>235</v>
      </c>
      <c r="V106" s="18" t="s">
        <v>235</v>
      </c>
    </row>
    <row r="107" customFormat="false" ht="57.75" hidden="false" customHeight="true" outlineLevel="0" collapsed="false">
      <c r="A107" s="10" t="n">
        <v>16</v>
      </c>
      <c r="B107" s="15" t="s">
        <v>224</v>
      </c>
      <c r="C107" s="12" t="s">
        <v>225</v>
      </c>
      <c r="D107" s="5" t="n">
        <v>2.5</v>
      </c>
      <c r="E107" s="26" t="s">
        <v>38</v>
      </c>
      <c r="F107" s="15" t="s">
        <v>131</v>
      </c>
      <c r="G107" s="15" t="s">
        <v>226</v>
      </c>
      <c r="H107" s="15" t="s">
        <v>227</v>
      </c>
      <c r="I107" s="15" t="s">
        <v>400</v>
      </c>
      <c r="J107" s="15" t="s">
        <v>133</v>
      </c>
      <c r="K107" s="15" t="s">
        <v>401</v>
      </c>
      <c r="L107" s="15" t="s">
        <v>134</v>
      </c>
      <c r="M107" s="24" t="s">
        <v>135</v>
      </c>
      <c r="N107" s="15" t="s">
        <v>280</v>
      </c>
      <c r="O107" s="24" t="s">
        <v>78</v>
      </c>
      <c r="P107" s="15" t="s">
        <v>231</v>
      </c>
      <c r="Q107" s="10" t="s">
        <v>239</v>
      </c>
      <c r="R107" s="29" t="s">
        <v>233</v>
      </c>
      <c r="S107" s="17" t="s">
        <v>234</v>
      </c>
      <c r="T107" s="17" t="s">
        <v>234</v>
      </c>
      <c r="U107" s="18" t="s">
        <v>235</v>
      </c>
      <c r="V107" s="18" t="s">
        <v>235</v>
      </c>
    </row>
    <row r="108" customFormat="false" ht="57.75" hidden="false" customHeight="true" outlineLevel="0" collapsed="false">
      <c r="A108" s="10" t="n">
        <v>16</v>
      </c>
      <c r="B108" s="15" t="s">
        <v>236</v>
      </c>
      <c r="C108" s="12" t="s">
        <v>225</v>
      </c>
      <c r="D108" s="5" t="n">
        <v>2.5</v>
      </c>
      <c r="E108" s="26" t="s">
        <v>38</v>
      </c>
      <c r="F108" s="15" t="s">
        <v>131</v>
      </c>
      <c r="G108" s="15" t="s">
        <v>237</v>
      </c>
      <c r="H108" s="15" t="s">
        <v>227</v>
      </c>
      <c r="I108" s="15" t="s">
        <v>402</v>
      </c>
      <c r="J108" s="15" t="s">
        <v>133</v>
      </c>
      <c r="K108" s="15" t="s">
        <v>401</v>
      </c>
      <c r="L108" s="15" t="s">
        <v>134</v>
      </c>
      <c r="M108" s="24" t="s">
        <v>135</v>
      </c>
      <c r="N108" s="15" t="s">
        <v>280</v>
      </c>
      <c r="O108" s="24" t="s">
        <v>78</v>
      </c>
      <c r="P108" s="15" t="s">
        <v>231</v>
      </c>
      <c r="Q108" s="10" t="s">
        <v>393</v>
      </c>
      <c r="R108" s="29" t="s">
        <v>233</v>
      </c>
      <c r="S108" s="17" t="s">
        <v>234</v>
      </c>
      <c r="T108" s="17" t="s">
        <v>234</v>
      </c>
      <c r="U108" s="17" t="s">
        <v>234</v>
      </c>
      <c r="V108" s="18" t="s">
        <v>235</v>
      </c>
    </row>
    <row r="109" customFormat="false" ht="57.75" hidden="false" customHeight="true" outlineLevel="0" collapsed="false">
      <c r="A109" s="10" t="n">
        <v>16</v>
      </c>
      <c r="B109" s="15" t="s">
        <v>240</v>
      </c>
      <c r="C109" s="12" t="s">
        <v>225</v>
      </c>
      <c r="D109" s="5" t="n">
        <v>2.5</v>
      </c>
      <c r="E109" s="26" t="s">
        <v>38</v>
      </c>
      <c r="F109" s="15" t="s">
        <v>131</v>
      </c>
      <c r="G109" s="15" t="s">
        <v>241</v>
      </c>
      <c r="H109" s="15" t="s">
        <v>227</v>
      </c>
      <c r="I109" s="15" t="s">
        <v>403</v>
      </c>
      <c r="J109" s="15" t="s">
        <v>133</v>
      </c>
      <c r="K109" s="15" t="s">
        <v>401</v>
      </c>
      <c r="L109" s="15" t="s">
        <v>134</v>
      </c>
      <c r="M109" s="24" t="s">
        <v>135</v>
      </c>
      <c r="N109" s="15" t="s">
        <v>280</v>
      </c>
      <c r="O109" s="24" t="s">
        <v>78</v>
      </c>
      <c r="P109" s="15" t="s">
        <v>231</v>
      </c>
      <c r="Q109" s="10" t="s">
        <v>393</v>
      </c>
      <c r="R109" s="29" t="s">
        <v>233</v>
      </c>
      <c r="S109" s="17" t="s">
        <v>234</v>
      </c>
      <c r="T109" s="17" t="s">
        <v>234</v>
      </c>
      <c r="U109" s="17" t="s">
        <v>234</v>
      </c>
      <c r="V109" s="18" t="s">
        <v>235</v>
      </c>
    </row>
    <row r="110" customFormat="false" ht="57.75" hidden="false" customHeight="true" outlineLevel="0" collapsed="false">
      <c r="A110" s="10" t="n">
        <v>16</v>
      </c>
      <c r="B110" s="15" t="s">
        <v>244</v>
      </c>
      <c r="C110" s="12" t="s">
        <v>225</v>
      </c>
      <c r="D110" s="5" t="n">
        <v>2.5</v>
      </c>
      <c r="E110" s="26" t="s">
        <v>38</v>
      </c>
      <c r="F110" s="15" t="s">
        <v>131</v>
      </c>
      <c r="G110" s="15" t="s">
        <v>245</v>
      </c>
      <c r="H110" s="15" t="s">
        <v>227</v>
      </c>
      <c r="I110" s="15" t="s">
        <v>404</v>
      </c>
      <c r="J110" s="15" t="s">
        <v>133</v>
      </c>
      <c r="K110" s="15" t="s">
        <v>401</v>
      </c>
      <c r="L110" s="15" t="s">
        <v>134</v>
      </c>
      <c r="M110" s="24" t="s">
        <v>135</v>
      </c>
      <c r="N110" s="15" t="s">
        <v>280</v>
      </c>
      <c r="O110" s="24" t="s">
        <v>78</v>
      </c>
      <c r="P110" s="15" t="s">
        <v>231</v>
      </c>
      <c r="Q110" s="10" t="s">
        <v>393</v>
      </c>
      <c r="R110" s="32" t="s">
        <v>274</v>
      </c>
      <c r="S110" s="17" t="s">
        <v>234</v>
      </c>
      <c r="T110" s="17" t="s">
        <v>234</v>
      </c>
      <c r="U110" s="17" t="s">
        <v>234</v>
      </c>
      <c r="V110" s="18" t="s">
        <v>235</v>
      </c>
    </row>
    <row r="111" customFormat="false" ht="57.75" hidden="false" customHeight="true" outlineLevel="0" collapsed="false">
      <c r="A111" s="10" t="n">
        <v>16</v>
      </c>
      <c r="B111" s="15" t="s">
        <v>248</v>
      </c>
      <c r="C111" s="12" t="s">
        <v>225</v>
      </c>
      <c r="D111" s="5" t="n">
        <v>2.5</v>
      </c>
      <c r="E111" s="26" t="s">
        <v>38</v>
      </c>
      <c r="F111" s="15" t="s">
        <v>131</v>
      </c>
      <c r="G111" s="15" t="s">
        <v>249</v>
      </c>
      <c r="H111" s="15" t="s">
        <v>227</v>
      </c>
      <c r="I111" s="15" t="s">
        <v>405</v>
      </c>
      <c r="J111" s="15" t="s">
        <v>132</v>
      </c>
      <c r="K111" s="15" t="s">
        <v>251</v>
      </c>
      <c r="L111" s="15" t="s">
        <v>134</v>
      </c>
      <c r="M111" s="24" t="s">
        <v>135</v>
      </c>
      <c r="N111" s="15" t="s">
        <v>280</v>
      </c>
      <c r="O111" s="24" t="s">
        <v>78</v>
      </c>
      <c r="P111" s="15" t="s">
        <v>231</v>
      </c>
      <c r="Q111" s="10" t="s">
        <v>243</v>
      </c>
      <c r="R111" s="29" t="s">
        <v>233</v>
      </c>
      <c r="S111" s="17" t="s">
        <v>234</v>
      </c>
      <c r="T111" s="17" t="s">
        <v>234</v>
      </c>
      <c r="U111" s="17" t="s">
        <v>234</v>
      </c>
      <c r="V111" s="17" t="s">
        <v>234</v>
      </c>
    </row>
    <row r="112" customFormat="false" ht="54" hidden="false" customHeight="true" outlineLevel="0" collapsed="false">
      <c r="A112" s="10" t="n">
        <v>16</v>
      </c>
      <c r="B112" s="15" t="s">
        <v>252</v>
      </c>
      <c r="C112" s="30" t="s">
        <v>253</v>
      </c>
      <c r="D112" s="5" t="n">
        <v>2.5</v>
      </c>
      <c r="E112" s="26" t="s">
        <v>38</v>
      </c>
      <c r="F112" s="15" t="s">
        <v>131</v>
      </c>
      <c r="G112" s="15" t="s">
        <v>254</v>
      </c>
      <c r="H112" s="15" t="s">
        <v>255</v>
      </c>
      <c r="I112" s="15" t="s">
        <v>406</v>
      </c>
      <c r="J112" s="15" t="s">
        <v>257</v>
      </c>
      <c r="K112" s="15" t="s">
        <v>407</v>
      </c>
      <c r="L112" s="15" t="s">
        <v>134</v>
      </c>
      <c r="M112" s="24" t="s">
        <v>135</v>
      </c>
      <c r="N112" s="15" t="s">
        <v>280</v>
      </c>
      <c r="O112" s="24" t="s">
        <v>78</v>
      </c>
      <c r="P112" s="15" t="s">
        <v>231</v>
      </c>
      <c r="Q112" s="10" t="s">
        <v>259</v>
      </c>
      <c r="R112" s="29" t="s">
        <v>233</v>
      </c>
      <c r="S112" s="17" t="s">
        <v>234</v>
      </c>
      <c r="T112" s="17" t="s">
        <v>234</v>
      </c>
      <c r="U112" s="17" t="s">
        <v>234</v>
      </c>
      <c r="V112" s="17" t="s">
        <v>234</v>
      </c>
    </row>
    <row r="113" customFormat="false" ht="31.5" hidden="false" customHeight="true" outlineLevel="0" collapsed="false">
      <c r="A113" s="10" t="n">
        <v>16</v>
      </c>
      <c r="B113" s="15" t="s">
        <v>260</v>
      </c>
      <c r="C113" s="28" t="s">
        <v>261</v>
      </c>
      <c r="D113" s="10" t="n">
        <v>0</v>
      </c>
      <c r="E113" s="26" t="s">
        <v>38</v>
      </c>
      <c r="F113" s="15" t="s">
        <v>131</v>
      </c>
      <c r="G113" s="15" t="s">
        <v>262</v>
      </c>
      <c r="H113" s="15" t="s">
        <v>263</v>
      </c>
      <c r="I113" s="15" t="s">
        <v>264</v>
      </c>
      <c r="J113" s="15" t="s">
        <v>265</v>
      </c>
      <c r="K113" s="15" t="s">
        <v>266</v>
      </c>
      <c r="L113" s="15"/>
      <c r="M113" s="15"/>
      <c r="N113" s="15"/>
      <c r="O113" s="15"/>
      <c r="P113" s="15"/>
      <c r="Q113" s="31" t="s">
        <v>261</v>
      </c>
      <c r="R113" s="31" t="s">
        <v>235</v>
      </c>
      <c r="S113" s="18" t="s">
        <v>235</v>
      </c>
      <c r="T113" s="18" t="s">
        <v>235</v>
      </c>
      <c r="U113" s="18" t="s">
        <v>235</v>
      </c>
      <c r="V113" s="18" t="s">
        <v>235</v>
      </c>
    </row>
    <row r="114" customFormat="false" ht="57.75" hidden="false" customHeight="true" outlineLevel="0" collapsed="false">
      <c r="A114" s="10" t="n">
        <v>17</v>
      </c>
      <c r="B114" s="15" t="s">
        <v>224</v>
      </c>
      <c r="C114" s="12" t="s">
        <v>225</v>
      </c>
      <c r="D114" s="5" t="n">
        <v>2.5</v>
      </c>
      <c r="E114" s="26" t="s">
        <v>38</v>
      </c>
      <c r="F114" s="15" t="s">
        <v>136</v>
      </c>
      <c r="G114" s="15" t="s">
        <v>226</v>
      </c>
      <c r="H114" s="15" t="s">
        <v>227</v>
      </c>
      <c r="I114" s="15" t="s">
        <v>408</v>
      </c>
      <c r="J114" s="15" t="s">
        <v>138</v>
      </c>
      <c r="K114" s="15" t="s">
        <v>409</v>
      </c>
      <c r="L114" s="15" t="s">
        <v>134</v>
      </c>
      <c r="M114" s="24" t="s">
        <v>135</v>
      </c>
      <c r="N114" s="15" t="s">
        <v>184</v>
      </c>
      <c r="O114" s="24" t="s">
        <v>139</v>
      </c>
      <c r="P114" s="15" t="s">
        <v>231</v>
      </c>
      <c r="Q114" s="10" t="s">
        <v>239</v>
      </c>
      <c r="R114" s="29" t="s">
        <v>233</v>
      </c>
      <c r="S114" s="17" t="s">
        <v>234</v>
      </c>
      <c r="T114" s="17" t="s">
        <v>234</v>
      </c>
      <c r="U114" s="18" t="s">
        <v>235</v>
      </c>
      <c r="V114" s="18" t="s">
        <v>235</v>
      </c>
    </row>
    <row r="115" customFormat="false" ht="57.75" hidden="false" customHeight="true" outlineLevel="0" collapsed="false">
      <c r="A115" s="10" t="n">
        <v>17</v>
      </c>
      <c r="B115" s="15" t="s">
        <v>236</v>
      </c>
      <c r="C115" s="12" t="s">
        <v>225</v>
      </c>
      <c r="D115" s="5" t="n">
        <v>2.5</v>
      </c>
      <c r="E115" s="26" t="s">
        <v>38</v>
      </c>
      <c r="F115" s="15" t="s">
        <v>136</v>
      </c>
      <c r="G115" s="15" t="s">
        <v>237</v>
      </c>
      <c r="H115" s="15" t="s">
        <v>227</v>
      </c>
      <c r="I115" s="15" t="s">
        <v>410</v>
      </c>
      <c r="J115" s="15" t="s">
        <v>138</v>
      </c>
      <c r="K115" s="15" t="s">
        <v>409</v>
      </c>
      <c r="L115" s="15" t="s">
        <v>134</v>
      </c>
      <c r="M115" s="24" t="s">
        <v>135</v>
      </c>
      <c r="N115" s="15" t="s">
        <v>184</v>
      </c>
      <c r="O115" s="24" t="s">
        <v>139</v>
      </c>
      <c r="P115" s="15" t="s">
        <v>231</v>
      </c>
      <c r="Q115" s="10" t="s">
        <v>393</v>
      </c>
      <c r="R115" s="29" t="s">
        <v>233</v>
      </c>
      <c r="S115" s="17" t="s">
        <v>234</v>
      </c>
      <c r="T115" s="17" t="s">
        <v>234</v>
      </c>
      <c r="U115" s="17" t="s">
        <v>234</v>
      </c>
      <c r="V115" s="18" t="s">
        <v>235</v>
      </c>
    </row>
    <row r="116" customFormat="false" ht="57.75" hidden="false" customHeight="true" outlineLevel="0" collapsed="false">
      <c r="A116" s="10" t="n">
        <v>17</v>
      </c>
      <c r="B116" s="15" t="s">
        <v>240</v>
      </c>
      <c r="C116" s="12" t="s">
        <v>225</v>
      </c>
      <c r="D116" s="5" t="n">
        <v>2.5</v>
      </c>
      <c r="E116" s="26" t="s">
        <v>38</v>
      </c>
      <c r="F116" s="15" t="s">
        <v>136</v>
      </c>
      <c r="G116" s="15" t="s">
        <v>241</v>
      </c>
      <c r="H116" s="15" t="s">
        <v>227</v>
      </c>
      <c r="I116" s="15" t="s">
        <v>411</v>
      </c>
      <c r="J116" s="15" t="s">
        <v>138</v>
      </c>
      <c r="K116" s="15" t="s">
        <v>409</v>
      </c>
      <c r="L116" s="15" t="s">
        <v>134</v>
      </c>
      <c r="M116" s="24" t="s">
        <v>135</v>
      </c>
      <c r="N116" s="15" t="s">
        <v>184</v>
      </c>
      <c r="O116" s="24" t="s">
        <v>139</v>
      </c>
      <c r="P116" s="15" t="s">
        <v>231</v>
      </c>
      <c r="Q116" s="10" t="s">
        <v>393</v>
      </c>
      <c r="R116" s="29" t="s">
        <v>233</v>
      </c>
      <c r="S116" s="17" t="s">
        <v>234</v>
      </c>
      <c r="T116" s="17" t="s">
        <v>234</v>
      </c>
      <c r="U116" s="17" t="s">
        <v>234</v>
      </c>
      <c r="V116" s="18" t="s">
        <v>235</v>
      </c>
    </row>
    <row r="117" customFormat="false" ht="57.75" hidden="false" customHeight="true" outlineLevel="0" collapsed="false">
      <c r="A117" s="10" t="n">
        <v>17</v>
      </c>
      <c r="B117" s="15" t="s">
        <v>244</v>
      </c>
      <c r="C117" s="12" t="s">
        <v>225</v>
      </c>
      <c r="D117" s="5" t="n">
        <v>2.5</v>
      </c>
      <c r="E117" s="26" t="s">
        <v>38</v>
      </c>
      <c r="F117" s="15" t="s">
        <v>136</v>
      </c>
      <c r="G117" s="15" t="s">
        <v>245</v>
      </c>
      <c r="H117" s="15" t="s">
        <v>227</v>
      </c>
      <c r="I117" s="15" t="s">
        <v>412</v>
      </c>
      <c r="J117" s="15" t="s">
        <v>138</v>
      </c>
      <c r="K117" s="15" t="s">
        <v>409</v>
      </c>
      <c r="L117" s="15" t="s">
        <v>134</v>
      </c>
      <c r="M117" s="24" t="s">
        <v>135</v>
      </c>
      <c r="N117" s="15" t="s">
        <v>184</v>
      </c>
      <c r="O117" s="24" t="s">
        <v>139</v>
      </c>
      <c r="P117" s="15" t="s">
        <v>231</v>
      </c>
      <c r="Q117" s="10" t="s">
        <v>393</v>
      </c>
      <c r="R117" s="29" t="s">
        <v>233</v>
      </c>
      <c r="S117" s="17" t="s">
        <v>234</v>
      </c>
      <c r="T117" s="17" t="s">
        <v>234</v>
      </c>
      <c r="U117" s="17" t="s">
        <v>234</v>
      </c>
      <c r="V117" s="18" t="s">
        <v>235</v>
      </c>
    </row>
    <row r="118" customFormat="false" ht="57.75" hidden="false" customHeight="true" outlineLevel="0" collapsed="false">
      <c r="A118" s="10" t="n">
        <v>17</v>
      </c>
      <c r="B118" s="15" t="s">
        <v>248</v>
      </c>
      <c r="C118" s="12" t="s">
        <v>225</v>
      </c>
      <c r="D118" s="5" t="n">
        <v>2.5</v>
      </c>
      <c r="E118" s="26" t="s">
        <v>38</v>
      </c>
      <c r="F118" s="15" t="s">
        <v>136</v>
      </c>
      <c r="G118" s="15" t="s">
        <v>249</v>
      </c>
      <c r="H118" s="15" t="s">
        <v>227</v>
      </c>
      <c r="I118" s="15" t="s">
        <v>413</v>
      </c>
      <c r="J118" s="15" t="s">
        <v>137</v>
      </c>
      <c r="K118" s="15" t="s">
        <v>251</v>
      </c>
      <c r="L118" s="15" t="s">
        <v>134</v>
      </c>
      <c r="M118" s="24" t="s">
        <v>135</v>
      </c>
      <c r="N118" s="15" t="s">
        <v>184</v>
      </c>
      <c r="O118" s="24" t="s">
        <v>139</v>
      </c>
      <c r="P118" s="15" t="s">
        <v>231</v>
      </c>
      <c r="Q118" s="10" t="s">
        <v>243</v>
      </c>
      <c r="R118" s="29" t="s">
        <v>233</v>
      </c>
      <c r="S118" s="17" t="s">
        <v>234</v>
      </c>
      <c r="T118" s="17" t="s">
        <v>234</v>
      </c>
      <c r="U118" s="17" t="s">
        <v>234</v>
      </c>
      <c r="V118" s="17" t="s">
        <v>234</v>
      </c>
    </row>
    <row r="119" customFormat="false" ht="54" hidden="false" customHeight="true" outlineLevel="0" collapsed="false">
      <c r="A119" s="10" t="n">
        <v>17</v>
      </c>
      <c r="B119" s="15" t="s">
        <v>252</v>
      </c>
      <c r="C119" s="30" t="s">
        <v>253</v>
      </c>
      <c r="D119" s="5" t="n">
        <v>2.5</v>
      </c>
      <c r="E119" s="26" t="s">
        <v>38</v>
      </c>
      <c r="F119" s="15" t="s">
        <v>136</v>
      </c>
      <c r="G119" s="15" t="s">
        <v>254</v>
      </c>
      <c r="H119" s="15" t="s">
        <v>255</v>
      </c>
      <c r="I119" s="15" t="s">
        <v>414</v>
      </c>
      <c r="J119" s="15" t="s">
        <v>257</v>
      </c>
      <c r="K119" s="15" t="s">
        <v>415</v>
      </c>
      <c r="L119" s="15" t="s">
        <v>134</v>
      </c>
      <c r="M119" s="24" t="s">
        <v>135</v>
      </c>
      <c r="N119" s="15" t="s">
        <v>184</v>
      </c>
      <c r="O119" s="24" t="s">
        <v>139</v>
      </c>
      <c r="P119" s="15" t="s">
        <v>231</v>
      </c>
      <c r="Q119" s="10" t="s">
        <v>259</v>
      </c>
      <c r="R119" s="29" t="s">
        <v>233</v>
      </c>
      <c r="S119" s="17" t="s">
        <v>234</v>
      </c>
      <c r="T119" s="17" t="s">
        <v>234</v>
      </c>
      <c r="U119" s="17" t="s">
        <v>234</v>
      </c>
      <c r="V119" s="17" t="s">
        <v>234</v>
      </c>
    </row>
    <row r="120" customFormat="false" ht="31.5" hidden="false" customHeight="true" outlineLevel="0" collapsed="false">
      <c r="A120" s="10" t="n">
        <v>17</v>
      </c>
      <c r="B120" s="15" t="s">
        <v>260</v>
      </c>
      <c r="C120" s="28" t="s">
        <v>261</v>
      </c>
      <c r="D120" s="10" t="n">
        <v>0</v>
      </c>
      <c r="E120" s="26" t="s">
        <v>38</v>
      </c>
      <c r="F120" s="15" t="s">
        <v>136</v>
      </c>
      <c r="G120" s="15" t="s">
        <v>262</v>
      </c>
      <c r="H120" s="15" t="s">
        <v>263</v>
      </c>
      <c r="I120" s="15" t="s">
        <v>264</v>
      </c>
      <c r="J120" s="15" t="s">
        <v>265</v>
      </c>
      <c r="K120" s="15" t="s">
        <v>266</v>
      </c>
      <c r="L120" s="15"/>
      <c r="M120" s="15"/>
      <c r="N120" s="15"/>
      <c r="O120" s="15"/>
      <c r="P120" s="15"/>
      <c r="Q120" s="31" t="s">
        <v>261</v>
      </c>
      <c r="R120" s="31" t="s">
        <v>235</v>
      </c>
      <c r="S120" s="18" t="s">
        <v>235</v>
      </c>
      <c r="T120" s="18" t="s">
        <v>235</v>
      </c>
      <c r="U120" s="18" t="s">
        <v>235</v>
      </c>
      <c r="V120" s="18" t="s">
        <v>235</v>
      </c>
    </row>
    <row r="121" customFormat="false" ht="57.75" hidden="false" customHeight="true" outlineLevel="0" collapsed="false">
      <c r="A121" s="10" t="n">
        <v>18</v>
      </c>
      <c r="B121" s="15" t="s">
        <v>224</v>
      </c>
      <c r="C121" s="12" t="s">
        <v>225</v>
      </c>
      <c r="D121" s="5" t="n">
        <v>2.5</v>
      </c>
      <c r="E121" s="26" t="s">
        <v>38</v>
      </c>
      <c r="F121" s="15" t="s">
        <v>140</v>
      </c>
      <c r="G121" s="15" t="s">
        <v>226</v>
      </c>
      <c r="H121" s="15" t="s">
        <v>227</v>
      </c>
      <c r="I121" s="15" t="s">
        <v>416</v>
      </c>
      <c r="J121" s="15" t="s">
        <v>142</v>
      </c>
      <c r="K121" s="15" t="s">
        <v>417</v>
      </c>
      <c r="L121" s="15" t="s">
        <v>143</v>
      </c>
      <c r="M121" s="24" t="s">
        <v>144</v>
      </c>
      <c r="N121" s="15" t="s">
        <v>375</v>
      </c>
      <c r="O121" s="24" t="s">
        <v>82</v>
      </c>
      <c r="P121" s="15" t="s">
        <v>231</v>
      </c>
      <c r="Q121" s="10" t="s">
        <v>239</v>
      </c>
      <c r="R121" s="29" t="s">
        <v>233</v>
      </c>
      <c r="S121" s="17" t="s">
        <v>234</v>
      </c>
      <c r="T121" s="17" t="s">
        <v>234</v>
      </c>
      <c r="U121" s="18" t="s">
        <v>235</v>
      </c>
      <c r="V121" s="18" t="s">
        <v>235</v>
      </c>
    </row>
    <row r="122" customFormat="false" ht="57.75" hidden="false" customHeight="true" outlineLevel="0" collapsed="false">
      <c r="A122" s="10" t="n">
        <v>18</v>
      </c>
      <c r="B122" s="15" t="s">
        <v>236</v>
      </c>
      <c r="C122" s="12" t="s">
        <v>225</v>
      </c>
      <c r="D122" s="5" t="n">
        <v>2.5</v>
      </c>
      <c r="E122" s="26" t="s">
        <v>38</v>
      </c>
      <c r="F122" s="15" t="s">
        <v>140</v>
      </c>
      <c r="G122" s="15" t="s">
        <v>237</v>
      </c>
      <c r="H122" s="15" t="s">
        <v>227</v>
      </c>
      <c r="I122" s="15" t="s">
        <v>418</v>
      </c>
      <c r="J122" s="15" t="s">
        <v>142</v>
      </c>
      <c r="K122" s="15" t="s">
        <v>417</v>
      </c>
      <c r="L122" s="15" t="s">
        <v>143</v>
      </c>
      <c r="M122" s="24" t="s">
        <v>144</v>
      </c>
      <c r="N122" s="15" t="s">
        <v>375</v>
      </c>
      <c r="O122" s="24" t="s">
        <v>82</v>
      </c>
      <c r="P122" s="15" t="s">
        <v>231</v>
      </c>
      <c r="Q122" s="10" t="s">
        <v>239</v>
      </c>
      <c r="R122" s="29" t="s">
        <v>233</v>
      </c>
      <c r="S122" s="17" t="s">
        <v>234</v>
      </c>
      <c r="T122" s="17" t="s">
        <v>234</v>
      </c>
      <c r="U122" s="18" t="s">
        <v>235</v>
      </c>
      <c r="V122" s="18" t="s">
        <v>235</v>
      </c>
    </row>
    <row r="123" customFormat="false" ht="57.75" hidden="false" customHeight="true" outlineLevel="0" collapsed="false">
      <c r="A123" s="10" t="n">
        <v>18</v>
      </c>
      <c r="B123" s="15" t="s">
        <v>240</v>
      </c>
      <c r="C123" s="12" t="s">
        <v>225</v>
      </c>
      <c r="D123" s="5" t="n">
        <v>2.5</v>
      </c>
      <c r="E123" s="26" t="s">
        <v>38</v>
      </c>
      <c r="F123" s="15" t="s">
        <v>140</v>
      </c>
      <c r="G123" s="15" t="s">
        <v>241</v>
      </c>
      <c r="H123" s="15" t="s">
        <v>227</v>
      </c>
      <c r="I123" s="15" t="s">
        <v>419</v>
      </c>
      <c r="J123" s="15" t="s">
        <v>142</v>
      </c>
      <c r="K123" s="15" t="s">
        <v>417</v>
      </c>
      <c r="L123" s="15" t="s">
        <v>143</v>
      </c>
      <c r="M123" s="24" t="s">
        <v>144</v>
      </c>
      <c r="N123" s="15" t="s">
        <v>375</v>
      </c>
      <c r="O123" s="24" t="s">
        <v>82</v>
      </c>
      <c r="P123" s="15" t="s">
        <v>231</v>
      </c>
      <c r="Q123" s="10" t="s">
        <v>239</v>
      </c>
      <c r="R123" s="29" t="s">
        <v>233</v>
      </c>
      <c r="S123" s="17" t="s">
        <v>234</v>
      </c>
      <c r="T123" s="17" t="s">
        <v>234</v>
      </c>
      <c r="U123" s="18" t="s">
        <v>235</v>
      </c>
      <c r="V123" s="18" t="s">
        <v>235</v>
      </c>
    </row>
    <row r="124" customFormat="false" ht="57.75" hidden="false" customHeight="true" outlineLevel="0" collapsed="false">
      <c r="A124" s="10" t="n">
        <v>18</v>
      </c>
      <c r="B124" s="15" t="s">
        <v>244</v>
      </c>
      <c r="C124" s="12" t="s">
        <v>225</v>
      </c>
      <c r="D124" s="5" t="n">
        <v>2.5</v>
      </c>
      <c r="E124" s="26" t="s">
        <v>38</v>
      </c>
      <c r="F124" s="15" t="s">
        <v>140</v>
      </c>
      <c r="G124" s="15" t="s">
        <v>245</v>
      </c>
      <c r="H124" s="15" t="s">
        <v>227</v>
      </c>
      <c r="I124" s="15" t="s">
        <v>420</v>
      </c>
      <c r="J124" s="15" t="s">
        <v>142</v>
      </c>
      <c r="K124" s="15" t="s">
        <v>417</v>
      </c>
      <c r="L124" s="15" t="s">
        <v>143</v>
      </c>
      <c r="M124" s="24" t="s">
        <v>144</v>
      </c>
      <c r="N124" s="15" t="s">
        <v>375</v>
      </c>
      <c r="O124" s="24" t="s">
        <v>82</v>
      </c>
      <c r="P124" s="15" t="s">
        <v>231</v>
      </c>
      <c r="Q124" s="10" t="s">
        <v>239</v>
      </c>
      <c r="R124" s="29" t="s">
        <v>233</v>
      </c>
      <c r="S124" s="17" t="s">
        <v>234</v>
      </c>
      <c r="T124" s="17" t="s">
        <v>234</v>
      </c>
      <c r="U124" s="18" t="s">
        <v>235</v>
      </c>
      <c r="V124" s="18" t="s">
        <v>235</v>
      </c>
    </row>
    <row r="125" customFormat="false" ht="57.75" hidden="false" customHeight="true" outlineLevel="0" collapsed="false">
      <c r="A125" s="10" t="n">
        <v>18</v>
      </c>
      <c r="B125" s="15" t="s">
        <v>248</v>
      </c>
      <c r="C125" s="12" t="s">
        <v>225</v>
      </c>
      <c r="D125" s="5" t="n">
        <v>2.5</v>
      </c>
      <c r="E125" s="26" t="s">
        <v>38</v>
      </c>
      <c r="F125" s="15" t="s">
        <v>140</v>
      </c>
      <c r="G125" s="15" t="s">
        <v>249</v>
      </c>
      <c r="H125" s="15" t="s">
        <v>227</v>
      </c>
      <c r="I125" s="15" t="s">
        <v>421</v>
      </c>
      <c r="J125" s="15" t="s">
        <v>141</v>
      </c>
      <c r="K125" s="15" t="s">
        <v>251</v>
      </c>
      <c r="L125" s="15" t="s">
        <v>143</v>
      </c>
      <c r="M125" s="24" t="s">
        <v>144</v>
      </c>
      <c r="N125" s="15" t="s">
        <v>375</v>
      </c>
      <c r="O125" s="24" t="s">
        <v>82</v>
      </c>
      <c r="P125" s="15" t="s">
        <v>231</v>
      </c>
      <c r="Q125" s="10" t="s">
        <v>243</v>
      </c>
      <c r="R125" s="29" t="s">
        <v>233</v>
      </c>
      <c r="S125" s="17" t="s">
        <v>234</v>
      </c>
      <c r="T125" s="17" t="s">
        <v>234</v>
      </c>
      <c r="U125" s="17" t="s">
        <v>234</v>
      </c>
      <c r="V125" s="17" t="s">
        <v>234</v>
      </c>
    </row>
    <row r="126" customFormat="false" ht="54" hidden="false" customHeight="true" outlineLevel="0" collapsed="false">
      <c r="A126" s="10" t="n">
        <v>18</v>
      </c>
      <c r="B126" s="15" t="s">
        <v>252</v>
      </c>
      <c r="C126" s="30" t="s">
        <v>253</v>
      </c>
      <c r="D126" s="5" t="n">
        <v>2.5</v>
      </c>
      <c r="E126" s="26" t="s">
        <v>38</v>
      </c>
      <c r="F126" s="15" t="s">
        <v>140</v>
      </c>
      <c r="G126" s="15" t="s">
        <v>254</v>
      </c>
      <c r="H126" s="15" t="s">
        <v>255</v>
      </c>
      <c r="I126" s="15" t="s">
        <v>422</v>
      </c>
      <c r="J126" s="15" t="s">
        <v>257</v>
      </c>
      <c r="K126" s="15" t="s">
        <v>423</v>
      </c>
      <c r="L126" s="15" t="s">
        <v>143</v>
      </c>
      <c r="M126" s="24" t="s">
        <v>144</v>
      </c>
      <c r="N126" s="15" t="s">
        <v>375</v>
      </c>
      <c r="O126" s="24" t="s">
        <v>82</v>
      </c>
      <c r="P126" s="15" t="s">
        <v>231</v>
      </c>
      <c r="Q126" s="10" t="s">
        <v>259</v>
      </c>
      <c r="R126" s="29" t="s">
        <v>233</v>
      </c>
      <c r="S126" s="17" t="s">
        <v>234</v>
      </c>
      <c r="T126" s="17" t="s">
        <v>234</v>
      </c>
      <c r="U126" s="17" t="s">
        <v>234</v>
      </c>
      <c r="V126" s="17" t="s">
        <v>234</v>
      </c>
    </row>
    <row r="127" customFormat="false" ht="31.5" hidden="false" customHeight="true" outlineLevel="0" collapsed="false">
      <c r="A127" s="10" t="n">
        <v>18</v>
      </c>
      <c r="B127" s="15" t="s">
        <v>260</v>
      </c>
      <c r="C127" s="28" t="s">
        <v>261</v>
      </c>
      <c r="D127" s="10" t="n">
        <v>0</v>
      </c>
      <c r="E127" s="26" t="s">
        <v>38</v>
      </c>
      <c r="F127" s="15" t="s">
        <v>140</v>
      </c>
      <c r="G127" s="15" t="s">
        <v>262</v>
      </c>
      <c r="H127" s="15" t="s">
        <v>263</v>
      </c>
      <c r="I127" s="15" t="s">
        <v>264</v>
      </c>
      <c r="J127" s="15" t="s">
        <v>265</v>
      </c>
      <c r="K127" s="15" t="s">
        <v>266</v>
      </c>
      <c r="L127" s="15"/>
      <c r="M127" s="15"/>
      <c r="N127" s="15"/>
      <c r="O127" s="15"/>
      <c r="P127" s="15"/>
      <c r="Q127" s="31" t="s">
        <v>261</v>
      </c>
      <c r="R127" s="31" t="s">
        <v>235</v>
      </c>
      <c r="S127" s="18" t="s">
        <v>235</v>
      </c>
      <c r="T127" s="18" t="s">
        <v>235</v>
      </c>
      <c r="U127" s="18" t="s">
        <v>235</v>
      </c>
      <c r="V127" s="18" t="s">
        <v>235</v>
      </c>
    </row>
    <row r="128" customFormat="false" ht="57.75" hidden="false" customHeight="true" outlineLevel="0" collapsed="false">
      <c r="A128" s="10" t="n">
        <v>19</v>
      </c>
      <c r="B128" s="15" t="s">
        <v>224</v>
      </c>
      <c r="C128" s="12" t="s">
        <v>225</v>
      </c>
      <c r="D128" s="5" t="n">
        <v>2.5</v>
      </c>
      <c r="E128" s="26" t="s">
        <v>38</v>
      </c>
      <c r="F128" s="15" t="s">
        <v>145</v>
      </c>
      <c r="G128" s="15" t="s">
        <v>226</v>
      </c>
      <c r="H128" s="15" t="s">
        <v>227</v>
      </c>
      <c r="I128" s="15" t="s">
        <v>424</v>
      </c>
      <c r="J128" s="15" t="s">
        <v>147</v>
      </c>
      <c r="K128" s="15" t="s">
        <v>425</v>
      </c>
      <c r="L128" s="15" t="s">
        <v>143</v>
      </c>
      <c r="M128" s="24" t="s">
        <v>144</v>
      </c>
      <c r="N128" s="15" t="s">
        <v>184</v>
      </c>
      <c r="O128" s="24" t="s">
        <v>139</v>
      </c>
      <c r="P128" s="15" t="s">
        <v>231</v>
      </c>
      <c r="Q128" s="10" t="s">
        <v>239</v>
      </c>
      <c r="R128" s="29" t="s">
        <v>233</v>
      </c>
      <c r="S128" s="17" t="s">
        <v>234</v>
      </c>
      <c r="T128" s="17" t="s">
        <v>234</v>
      </c>
      <c r="U128" s="18" t="s">
        <v>235</v>
      </c>
      <c r="V128" s="18" t="s">
        <v>235</v>
      </c>
    </row>
    <row r="129" customFormat="false" ht="57.75" hidden="false" customHeight="true" outlineLevel="0" collapsed="false">
      <c r="A129" s="10" t="n">
        <v>19</v>
      </c>
      <c r="B129" s="15" t="s">
        <v>236</v>
      </c>
      <c r="C129" s="12" t="s">
        <v>225</v>
      </c>
      <c r="D129" s="5" t="n">
        <v>2.5</v>
      </c>
      <c r="E129" s="26" t="s">
        <v>38</v>
      </c>
      <c r="F129" s="15" t="s">
        <v>145</v>
      </c>
      <c r="G129" s="15" t="s">
        <v>237</v>
      </c>
      <c r="H129" s="15" t="s">
        <v>227</v>
      </c>
      <c r="I129" s="15" t="s">
        <v>426</v>
      </c>
      <c r="J129" s="15" t="s">
        <v>147</v>
      </c>
      <c r="K129" s="15" t="s">
        <v>425</v>
      </c>
      <c r="L129" s="15" t="s">
        <v>143</v>
      </c>
      <c r="M129" s="24" t="s">
        <v>144</v>
      </c>
      <c r="N129" s="15" t="s">
        <v>184</v>
      </c>
      <c r="O129" s="24" t="s">
        <v>139</v>
      </c>
      <c r="P129" s="15" t="s">
        <v>231</v>
      </c>
      <c r="Q129" s="10" t="s">
        <v>239</v>
      </c>
      <c r="R129" s="29" t="s">
        <v>233</v>
      </c>
      <c r="S129" s="17" t="s">
        <v>234</v>
      </c>
      <c r="T129" s="17" t="s">
        <v>234</v>
      </c>
      <c r="U129" s="18" t="s">
        <v>235</v>
      </c>
      <c r="V129" s="18" t="s">
        <v>235</v>
      </c>
    </row>
    <row r="130" customFormat="false" ht="57.75" hidden="false" customHeight="true" outlineLevel="0" collapsed="false">
      <c r="A130" s="10" t="n">
        <v>19</v>
      </c>
      <c r="B130" s="15" t="s">
        <v>240</v>
      </c>
      <c r="C130" s="12" t="s">
        <v>225</v>
      </c>
      <c r="D130" s="5" t="n">
        <v>2.5</v>
      </c>
      <c r="E130" s="26" t="s">
        <v>38</v>
      </c>
      <c r="F130" s="15" t="s">
        <v>145</v>
      </c>
      <c r="G130" s="15" t="s">
        <v>241</v>
      </c>
      <c r="H130" s="15" t="s">
        <v>227</v>
      </c>
      <c r="I130" s="15" t="s">
        <v>427</v>
      </c>
      <c r="J130" s="15" t="s">
        <v>147</v>
      </c>
      <c r="K130" s="15" t="s">
        <v>425</v>
      </c>
      <c r="L130" s="15" t="s">
        <v>143</v>
      </c>
      <c r="M130" s="24" t="s">
        <v>144</v>
      </c>
      <c r="N130" s="15" t="s">
        <v>184</v>
      </c>
      <c r="O130" s="24" t="s">
        <v>139</v>
      </c>
      <c r="P130" s="15" t="s">
        <v>231</v>
      </c>
      <c r="Q130" s="10" t="s">
        <v>239</v>
      </c>
      <c r="R130" s="29" t="s">
        <v>233</v>
      </c>
      <c r="S130" s="17" t="s">
        <v>234</v>
      </c>
      <c r="T130" s="17" t="s">
        <v>234</v>
      </c>
      <c r="U130" s="18" t="s">
        <v>235</v>
      </c>
      <c r="V130" s="18" t="s">
        <v>235</v>
      </c>
    </row>
    <row r="131" customFormat="false" ht="57.75" hidden="false" customHeight="true" outlineLevel="0" collapsed="false">
      <c r="A131" s="10" t="n">
        <v>19</v>
      </c>
      <c r="B131" s="15" t="s">
        <v>244</v>
      </c>
      <c r="C131" s="12" t="s">
        <v>225</v>
      </c>
      <c r="D131" s="5" t="n">
        <v>2.5</v>
      </c>
      <c r="E131" s="26" t="s">
        <v>38</v>
      </c>
      <c r="F131" s="15" t="s">
        <v>145</v>
      </c>
      <c r="G131" s="15" t="s">
        <v>245</v>
      </c>
      <c r="H131" s="15" t="s">
        <v>227</v>
      </c>
      <c r="I131" s="15" t="s">
        <v>428</v>
      </c>
      <c r="J131" s="15" t="s">
        <v>147</v>
      </c>
      <c r="K131" s="15" t="s">
        <v>425</v>
      </c>
      <c r="L131" s="15" t="s">
        <v>143</v>
      </c>
      <c r="M131" s="24" t="s">
        <v>144</v>
      </c>
      <c r="N131" s="15" t="s">
        <v>184</v>
      </c>
      <c r="O131" s="24" t="s">
        <v>139</v>
      </c>
      <c r="P131" s="15" t="s">
        <v>231</v>
      </c>
      <c r="Q131" s="10" t="s">
        <v>239</v>
      </c>
      <c r="R131" s="29" t="s">
        <v>233</v>
      </c>
      <c r="S131" s="17" t="s">
        <v>234</v>
      </c>
      <c r="T131" s="17" t="s">
        <v>234</v>
      </c>
      <c r="U131" s="18" t="s">
        <v>235</v>
      </c>
      <c r="V131" s="18" t="s">
        <v>235</v>
      </c>
    </row>
    <row r="132" customFormat="false" ht="57.75" hidden="false" customHeight="true" outlineLevel="0" collapsed="false">
      <c r="A132" s="10" t="n">
        <v>19</v>
      </c>
      <c r="B132" s="15" t="s">
        <v>248</v>
      </c>
      <c r="C132" s="12" t="s">
        <v>225</v>
      </c>
      <c r="D132" s="5" t="n">
        <v>2.5</v>
      </c>
      <c r="E132" s="26" t="s">
        <v>38</v>
      </c>
      <c r="F132" s="15" t="s">
        <v>145</v>
      </c>
      <c r="G132" s="15" t="s">
        <v>249</v>
      </c>
      <c r="H132" s="15" t="s">
        <v>227</v>
      </c>
      <c r="I132" s="15" t="s">
        <v>429</v>
      </c>
      <c r="J132" s="15" t="s">
        <v>146</v>
      </c>
      <c r="K132" s="15" t="s">
        <v>251</v>
      </c>
      <c r="L132" s="15" t="s">
        <v>143</v>
      </c>
      <c r="M132" s="24" t="s">
        <v>144</v>
      </c>
      <c r="N132" s="15" t="s">
        <v>184</v>
      </c>
      <c r="O132" s="24" t="s">
        <v>139</v>
      </c>
      <c r="P132" s="15" t="s">
        <v>231</v>
      </c>
      <c r="Q132" s="10" t="s">
        <v>243</v>
      </c>
      <c r="R132" s="29" t="s">
        <v>233</v>
      </c>
      <c r="S132" s="17" t="s">
        <v>234</v>
      </c>
      <c r="T132" s="17" t="s">
        <v>234</v>
      </c>
      <c r="U132" s="17" t="s">
        <v>234</v>
      </c>
      <c r="V132" s="17" t="s">
        <v>234</v>
      </c>
    </row>
    <row r="133" customFormat="false" ht="54" hidden="false" customHeight="true" outlineLevel="0" collapsed="false">
      <c r="A133" s="10" t="n">
        <v>19</v>
      </c>
      <c r="B133" s="15" t="s">
        <v>252</v>
      </c>
      <c r="C133" s="30" t="s">
        <v>253</v>
      </c>
      <c r="D133" s="5" t="n">
        <v>2.5</v>
      </c>
      <c r="E133" s="26" t="s">
        <v>38</v>
      </c>
      <c r="F133" s="15" t="s">
        <v>145</v>
      </c>
      <c r="G133" s="15" t="s">
        <v>254</v>
      </c>
      <c r="H133" s="15" t="s">
        <v>255</v>
      </c>
      <c r="I133" s="15" t="s">
        <v>430</v>
      </c>
      <c r="J133" s="15" t="s">
        <v>257</v>
      </c>
      <c r="K133" s="15" t="s">
        <v>431</v>
      </c>
      <c r="L133" s="15" t="s">
        <v>143</v>
      </c>
      <c r="M133" s="24" t="s">
        <v>144</v>
      </c>
      <c r="N133" s="15" t="s">
        <v>184</v>
      </c>
      <c r="O133" s="24" t="s">
        <v>139</v>
      </c>
      <c r="P133" s="15" t="s">
        <v>231</v>
      </c>
      <c r="Q133" s="10" t="s">
        <v>259</v>
      </c>
      <c r="R133" s="29" t="s">
        <v>233</v>
      </c>
      <c r="S133" s="17" t="s">
        <v>234</v>
      </c>
      <c r="T133" s="17" t="s">
        <v>234</v>
      </c>
      <c r="U133" s="17" t="s">
        <v>234</v>
      </c>
      <c r="V133" s="17" t="s">
        <v>234</v>
      </c>
    </row>
    <row r="134" customFormat="false" ht="31.5" hidden="false" customHeight="true" outlineLevel="0" collapsed="false">
      <c r="A134" s="10" t="n">
        <v>19</v>
      </c>
      <c r="B134" s="15" t="s">
        <v>260</v>
      </c>
      <c r="C134" s="28" t="s">
        <v>261</v>
      </c>
      <c r="D134" s="10" t="n">
        <v>0</v>
      </c>
      <c r="E134" s="26" t="s">
        <v>38</v>
      </c>
      <c r="F134" s="15" t="s">
        <v>145</v>
      </c>
      <c r="G134" s="15" t="s">
        <v>262</v>
      </c>
      <c r="H134" s="15" t="s">
        <v>263</v>
      </c>
      <c r="I134" s="15" t="s">
        <v>264</v>
      </c>
      <c r="J134" s="15" t="s">
        <v>265</v>
      </c>
      <c r="K134" s="15" t="s">
        <v>266</v>
      </c>
      <c r="L134" s="15"/>
      <c r="M134" s="15"/>
      <c r="N134" s="15"/>
      <c r="O134" s="15"/>
      <c r="P134" s="15"/>
      <c r="Q134" s="31" t="s">
        <v>261</v>
      </c>
      <c r="R134" s="31" t="s">
        <v>235</v>
      </c>
      <c r="S134" s="18" t="s">
        <v>235</v>
      </c>
      <c r="T134" s="18" t="s">
        <v>235</v>
      </c>
      <c r="U134" s="18" t="s">
        <v>235</v>
      </c>
      <c r="V134" s="18" t="s">
        <v>235</v>
      </c>
    </row>
    <row r="135" customFormat="false" ht="57.75" hidden="false" customHeight="true" outlineLevel="0" collapsed="false">
      <c r="A135" s="10" t="n">
        <v>20</v>
      </c>
      <c r="B135" s="15" t="s">
        <v>224</v>
      </c>
      <c r="C135" s="12" t="s">
        <v>225</v>
      </c>
      <c r="D135" s="5" t="n">
        <v>2.5</v>
      </c>
      <c r="E135" s="26" t="s">
        <v>38</v>
      </c>
      <c r="F135" s="15" t="s">
        <v>148</v>
      </c>
      <c r="G135" s="15" t="s">
        <v>226</v>
      </c>
      <c r="H135" s="15" t="s">
        <v>227</v>
      </c>
      <c r="I135" s="15" t="s">
        <v>432</v>
      </c>
      <c r="J135" s="15" t="s">
        <v>150</v>
      </c>
      <c r="K135" s="15" t="s">
        <v>433</v>
      </c>
      <c r="L135" s="15" t="s">
        <v>151</v>
      </c>
      <c r="M135" s="24" t="s">
        <v>152</v>
      </c>
      <c r="N135" s="15" t="s">
        <v>188</v>
      </c>
      <c r="O135" s="24" t="s">
        <v>153</v>
      </c>
      <c r="P135" s="15" t="s">
        <v>231</v>
      </c>
      <c r="Q135" s="10" t="s">
        <v>239</v>
      </c>
      <c r="R135" s="29" t="s">
        <v>233</v>
      </c>
      <c r="S135" s="17" t="s">
        <v>234</v>
      </c>
      <c r="T135" s="17" t="s">
        <v>234</v>
      </c>
      <c r="U135" s="18" t="s">
        <v>235</v>
      </c>
      <c r="V135" s="18" t="s">
        <v>235</v>
      </c>
    </row>
    <row r="136" customFormat="false" ht="57.75" hidden="false" customHeight="true" outlineLevel="0" collapsed="false">
      <c r="A136" s="10" t="n">
        <v>20</v>
      </c>
      <c r="B136" s="15" t="s">
        <v>236</v>
      </c>
      <c r="C136" s="12" t="s">
        <v>225</v>
      </c>
      <c r="D136" s="5" t="n">
        <v>2.5</v>
      </c>
      <c r="E136" s="26" t="s">
        <v>38</v>
      </c>
      <c r="F136" s="15" t="s">
        <v>148</v>
      </c>
      <c r="G136" s="15" t="s">
        <v>237</v>
      </c>
      <c r="H136" s="15" t="s">
        <v>227</v>
      </c>
      <c r="I136" s="15" t="s">
        <v>434</v>
      </c>
      <c r="J136" s="15" t="s">
        <v>150</v>
      </c>
      <c r="K136" s="15" t="s">
        <v>433</v>
      </c>
      <c r="L136" s="15" t="s">
        <v>151</v>
      </c>
      <c r="M136" s="24" t="s">
        <v>152</v>
      </c>
      <c r="N136" s="15" t="s">
        <v>188</v>
      </c>
      <c r="O136" s="24" t="s">
        <v>153</v>
      </c>
      <c r="P136" s="15" t="s">
        <v>231</v>
      </c>
      <c r="Q136" s="10" t="s">
        <v>393</v>
      </c>
      <c r="R136" s="32" t="s">
        <v>274</v>
      </c>
      <c r="S136" s="17" t="s">
        <v>234</v>
      </c>
      <c r="T136" s="17" t="s">
        <v>234</v>
      </c>
      <c r="U136" s="17" t="s">
        <v>234</v>
      </c>
      <c r="V136" s="18" t="s">
        <v>235</v>
      </c>
    </row>
    <row r="137" customFormat="false" ht="57.75" hidden="false" customHeight="true" outlineLevel="0" collapsed="false">
      <c r="A137" s="10" t="n">
        <v>20</v>
      </c>
      <c r="B137" s="15" t="s">
        <v>240</v>
      </c>
      <c r="C137" s="12" t="s">
        <v>225</v>
      </c>
      <c r="D137" s="5" t="n">
        <v>2.5</v>
      </c>
      <c r="E137" s="26" t="s">
        <v>38</v>
      </c>
      <c r="F137" s="15" t="s">
        <v>148</v>
      </c>
      <c r="G137" s="15" t="s">
        <v>241</v>
      </c>
      <c r="H137" s="15" t="s">
        <v>227</v>
      </c>
      <c r="I137" s="15" t="s">
        <v>435</v>
      </c>
      <c r="J137" s="15" t="s">
        <v>150</v>
      </c>
      <c r="K137" s="15" t="s">
        <v>433</v>
      </c>
      <c r="L137" s="15" t="s">
        <v>151</v>
      </c>
      <c r="M137" s="24" t="s">
        <v>152</v>
      </c>
      <c r="N137" s="15" t="s">
        <v>188</v>
      </c>
      <c r="O137" s="24" t="s">
        <v>153</v>
      </c>
      <c r="P137" s="15" t="s">
        <v>231</v>
      </c>
      <c r="Q137" s="10" t="s">
        <v>239</v>
      </c>
      <c r="R137" s="32" t="s">
        <v>274</v>
      </c>
      <c r="S137" s="17" t="s">
        <v>234</v>
      </c>
      <c r="T137" s="17" t="s">
        <v>234</v>
      </c>
      <c r="U137" s="18" t="s">
        <v>235</v>
      </c>
      <c r="V137" s="18" t="s">
        <v>235</v>
      </c>
    </row>
    <row r="138" customFormat="false" ht="57.75" hidden="false" customHeight="true" outlineLevel="0" collapsed="false">
      <c r="A138" s="10" t="n">
        <v>20</v>
      </c>
      <c r="B138" s="15" t="s">
        <v>244</v>
      </c>
      <c r="C138" s="12" t="s">
        <v>225</v>
      </c>
      <c r="D138" s="5" t="n">
        <v>2.5</v>
      </c>
      <c r="E138" s="26" t="s">
        <v>38</v>
      </c>
      <c r="F138" s="15" t="s">
        <v>148</v>
      </c>
      <c r="G138" s="15" t="s">
        <v>245</v>
      </c>
      <c r="H138" s="15" t="s">
        <v>227</v>
      </c>
      <c r="I138" s="15" t="s">
        <v>436</v>
      </c>
      <c r="J138" s="15" t="s">
        <v>150</v>
      </c>
      <c r="K138" s="15" t="s">
        <v>433</v>
      </c>
      <c r="L138" s="15" t="s">
        <v>151</v>
      </c>
      <c r="M138" s="24" t="s">
        <v>152</v>
      </c>
      <c r="N138" s="15" t="s">
        <v>188</v>
      </c>
      <c r="O138" s="24" t="s">
        <v>153</v>
      </c>
      <c r="P138" s="15" t="s">
        <v>231</v>
      </c>
      <c r="Q138" s="10" t="s">
        <v>393</v>
      </c>
      <c r="R138" s="32" t="s">
        <v>274</v>
      </c>
      <c r="S138" s="17" t="s">
        <v>234</v>
      </c>
      <c r="T138" s="17" t="s">
        <v>234</v>
      </c>
      <c r="U138" s="17" t="s">
        <v>234</v>
      </c>
      <c r="V138" s="18" t="s">
        <v>235</v>
      </c>
    </row>
    <row r="139" customFormat="false" ht="57.75" hidden="false" customHeight="true" outlineLevel="0" collapsed="false">
      <c r="A139" s="10" t="n">
        <v>20</v>
      </c>
      <c r="B139" s="15" t="s">
        <v>248</v>
      </c>
      <c r="C139" s="12" t="s">
        <v>225</v>
      </c>
      <c r="D139" s="5" t="n">
        <v>2.5</v>
      </c>
      <c r="E139" s="26" t="s">
        <v>38</v>
      </c>
      <c r="F139" s="15" t="s">
        <v>148</v>
      </c>
      <c r="G139" s="15" t="s">
        <v>249</v>
      </c>
      <c r="H139" s="15" t="s">
        <v>227</v>
      </c>
      <c r="I139" s="15" t="s">
        <v>437</v>
      </c>
      <c r="J139" s="15" t="s">
        <v>149</v>
      </c>
      <c r="K139" s="15" t="s">
        <v>251</v>
      </c>
      <c r="L139" s="15" t="s">
        <v>151</v>
      </c>
      <c r="M139" s="24" t="s">
        <v>152</v>
      </c>
      <c r="N139" s="15" t="s">
        <v>188</v>
      </c>
      <c r="O139" s="24" t="s">
        <v>153</v>
      </c>
      <c r="P139" s="15" t="s">
        <v>231</v>
      </c>
      <c r="Q139" s="10" t="s">
        <v>243</v>
      </c>
      <c r="R139" s="29" t="s">
        <v>233</v>
      </c>
      <c r="S139" s="17" t="s">
        <v>234</v>
      </c>
      <c r="T139" s="17" t="s">
        <v>234</v>
      </c>
      <c r="U139" s="17" t="s">
        <v>234</v>
      </c>
      <c r="V139" s="17" t="s">
        <v>234</v>
      </c>
    </row>
    <row r="140" customFormat="false" ht="54" hidden="false" customHeight="true" outlineLevel="0" collapsed="false">
      <c r="A140" s="10" t="n">
        <v>20</v>
      </c>
      <c r="B140" s="15" t="s">
        <v>252</v>
      </c>
      <c r="C140" s="30" t="s">
        <v>253</v>
      </c>
      <c r="D140" s="5" t="n">
        <v>2.5</v>
      </c>
      <c r="E140" s="26" t="s">
        <v>38</v>
      </c>
      <c r="F140" s="15" t="s">
        <v>148</v>
      </c>
      <c r="G140" s="15" t="s">
        <v>254</v>
      </c>
      <c r="H140" s="15" t="s">
        <v>255</v>
      </c>
      <c r="I140" s="15" t="s">
        <v>438</v>
      </c>
      <c r="J140" s="15" t="s">
        <v>257</v>
      </c>
      <c r="K140" s="15" t="s">
        <v>439</v>
      </c>
      <c r="L140" s="15" t="s">
        <v>151</v>
      </c>
      <c r="M140" s="24" t="s">
        <v>152</v>
      </c>
      <c r="N140" s="15" t="s">
        <v>188</v>
      </c>
      <c r="O140" s="24" t="s">
        <v>153</v>
      </c>
      <c r="P140" s="15" t="s">
        <v>231</v>
      </c>
      <c r="Q140" s="10" t="s">
        <v>259</v>
      </c>
      <c r="R140" s="29" t="s">
        <v>233</v>
      </c>
      <c r="S140" s="17" t="s">
        <v>234</v>
      </c>
      <c r="T140" s="17" t="s">
        <v>234</v>
      </c>
      <c r="U140" s="17" t="s">
        <v>234</v>
      </c>
      <c r="V140" s="17" t="s">
        <v>234</v>
      </c>
    </row>
    <row r="141" customFormat="false" ht="31.5" hidden="false" customHeight="true" outlineLevel="0" collapsed="false">
      <c r="A141" s="10" t="n">
        <v>20</v>
      </c>
      <c r="B141" s="15" t="s">
        <v>260</v>
      </c>
      <c r="C141" s="28" t="s">
        <v>261</v>
      </c>
      <c r="D141" s="10" t="n">
        <v>0</v>
      </c>
      <c r="E141" s="26" t="s">
        <v>38</v>
      </c>
      <c r="F141" s="15" t="s">
        <v>148</v>
      </c>
      <c r="G141" s="15" t="s">
        <v>262</v>
      </c>
      <c r="H141" s="15" t="s">
        <v>263</v>
      </c>
      <c r="I141" s="15" t="s">
        <v>264</v>
      </c>
      <c r="J141" s="15" t="s">
        <v>265</v>
      </c>
      <c r="K141" s="15" t="s">
        <v>266</v>
      </c>
      <c r="L141" s="15"/>
      <c r="M141" s="15"/>
      <c r="N141" s="15"/>
      <c r="O141" s="15"/>
      <c r="P141" s="15"/>
      <c r="Q141" s="31" t="s">
        <v>261</v>
      </c>
      <c r="R141" s="31" t="s">
        <v>235</v>
      </c>
      <c r="S141" s="18" t="s">
        <v>235</v>
      </c>
      <c r="T141" s="18" t="s">
        <v>235</v>
      </c>
      <c r="U141" s="18" t="s">
        <v>235</v>
      </c>
      <c r="V141" s="18" t="s">
        <v>235</v>
      </c>
    </row>
    <row r="142" customFormat="false" ht="57.75" hidden="false" customHeight="true" outlineLevel="0" collapsed="false">
      <c r="A142" s="10" t="n">
        <v>21</v>
      </c>
      <c r="B142" s="15" t="s">
        <v>224</v>
      </c>
      <c r="C142" s="12" t="s">
        <v>225</v>
      </c>
      <c r="D142" s="5" t="n">
        <v>2.5</v>
      </c>
      <c r="E142" s="26" t="s">
        <v>38</v>
      </c>
      <c r="F142" s="15" t="s">
        <v>154</v>
      </c>
      <c r="G142" s="15" t="s">
        <v>226</v>
      </c>
      <c r="H142" s="15" t="s">
        <v>227</v>
      </c>
      <c r="I142" s="15" t="s">
        <v>440</v>
      </c>
      <c r="J142" s="15" t="s">
        <v>156</v>
      </c>
      <c r="K142" s="15" t="s">
        <v>441</v>
      </c>
      <c r="L142" s="15" t="s">
        <v>151</v>
      </c>
      <c r="M142" s="24" t="s">
        <v>152</v>
      </c>
      <c r="N142" s="15" t="s">
        <v>199</v>
      </c>
      <c r="O142" s="24" t="s">
        <v>157</v>
      </c>
      <c r="P142" s="15" t="s">
        <v>231</v>
      </c>
      <c r="Q142" s="10" t="s">
        <v>239</v>
      </c>
      <c r="R142" s="29" t="s">
        <v>233</v>
      </c>
      <c r="S142" s="17" t="s">
        <v>234</v>
      </c>
      <c r="T142" s="17" t="s">
        <v>234</v>
      </c>
      <c r="U142" s="18" t="s">
        <v>235</v>
      </c>
      <c r="V142" s="18" t="s">
        <v>235</v>
      </c>
    </row>
    <row r="143" customFormat="false" ht="57.75" hidden="false" customHeight="true" outlineLevel="0" collapsed="false">
      <c r="A143" s="10" t="n">
        <v>21</v>
      </c>
      <c r="B143" s="15" t="s">
        <v>236</v>
      </c>
      <c r="C143" s="12" t="s">
        <v>225</v>
      </c>
      <c r="D143" s="5" t="n">
        <v>2.5</v>
      </c>
      <c r="E143" s="26" t="s">
        <v>38</v>
      </c>
      <c r="F143" s="15" t="s">
        <v>154</v>
      </c>
      <c r="G143" s="15" t="s">
        <v>237</v>
      </c>
      <c r="H143" s="15" t="s">
        <v>227</v>
      </c>
      <c r="I143" s="15" t="s">
        <v>442</v>
      </c>
      <c r="J143" s="15" t="s">
        <v>156</v>
      </c>
      <c r="K143" s="15" t="s">
        <v>441</v>
      </c>
      <c r="L143" s="15" t="s">
        <v>151</v>
      </c>
      <c r="M143" s="24" t="s">
        <v>152</v>
      </c>
      <c r="N143" s="15" t="s">
        <v>199</v>
      </c>
      <c r="O143" s="24" t="s">
        <v>157</v>
      </c>
      <c r="P143" s="15" t="s">
        <v>231</v>
      </c>
      <c r="Q143" s="10" t="s">
        <v>239</v>
      </c>
      <c r="R143" s="29" t="s">
        <v>233</v>
      </c>
      <c r="S143" s="17" t="s">
        <v>234</v>
      </c>
      <c r="T143" s="17" t="s">
        <v>234</v>
      </c>
      <c r="U143" s="18" t="s">
        <v>235</v>
      </c>
      <c r="V143" s="18" t="s">
        <v>235</v>
      </c>
    </row>
    <row r="144" customFormat="false" ht="57.75" hidden="false" customHeight="true" outlineLevel="0" collapsed="false">
      <c r="A144" s="10" t="n">
        <v>21</v>
      </c>
      <c r="B144" s="15" t="s">
        <v>240</v>
      </c>
      <c r="C144" s="12" t="s">
        <v>225</v>
      </c>
      <c r="D144" s="5" t="n">
        <v>2.5</v>
      </c>
      <c r="E144" s="26" t="s">
        <v>38</v>
      </c>
      <c r="F144" s="15" t="s">
        <v>154</v>
      </c>
      <c r="G144" s="15" t="s">
        <v>241</v>
      </c>
      <c r="H144" s="15" t="s">
        <v>227</v>
      </c>
      <c r="I144" s="15" t="s">
        <v>443</v>
      </c>
      <c r="J144" s="15" t="s">
        <v>156</v>
      </c>
      <c r="K144" s="15" t="s">
        <v>441</v>
      </c>
      <c r="L144" s="15" t="s">
        <v>151</v>
      </c>
      <c r="M144" s="24" t="s">
        <v>152</v>
      </c>
      <c r="N144" s="15" t="s">
        <v>199</v>
      </c>
      <c r="O144" s="24" t="s">
        <v>157</v>
      </c>
      <c r="P144" s="15" t="s">
        <v>231</v>
      </c>
      <c r="Q144" s="10" t="s">
        <v>243</v>
      </c>
      <c r="R144" s="29" t="s">
        <v>233</v>
      </c>
      <c r="S144" s="17" t="s">
        <v>234</v>
      </c>
      <c r="T144" s="17" t="s">
        <v>234</v>
      </c>
      <c r="U144" s="17" t="s">
        <v>234</v>
      </c>
      <c r="V144" s="17" t="s">
        <v>234</v>
      </c>
    </row>
    <row r="145" customFormat="false" ht="57.75" hidden="false" customHeight="true" outlineLevel="0" collapsed="false">
      <c r="A145" s="10" t="n">
        <v>21</v>
      </c>
      <c r="B145" s="15" t="s">
        <v>244</v>
      </c>
      <c r="C145" s="12" t="s">
        <v>225</v>
      </c>
      <c r="D145" s="5" t="n">
        <v>2.5</v>
      </c>
      <c r="E145" s="26" t="s">
        <v>38</v>
      </c>
      <c r="F145" s="15" t="s">
        <v>154</v>
      </c>
      <c r="G145" s="15" t="s">
        <v>245</v>
      </c>
      <c r="H145" s="15" t="s">
        <v>227</v>
      </c>
      <c r="I145" s="15" t="s">
        <v>444</v>
      </c>
      <c r="J145" s="15" t="s">
        <v>156</v>
      </c>
      <c r="K145" s="15" t="s">
        <v>441</v>
      </c>
      <c r="L145" s="15" t="s">
        <v>151</v>
      </c>
      <c r="M145" s="24" t="s">
        <v>152</v>
      </c>
      <c r="N145" s="15" t="s">
        <v>199</v>
      </c>
      <c r="O145" s="24" t="s">
        <v>157</v>
      </c>
      <c r="P145" s="15" t="s">
        <v>231</v>
      </c>
      <c r="Q145" s="10" t="s">
        <v>239</v>
      </c>
      <c r="R145" s="29" t="s">
        <v>233</v>
      </c>
      <c r="S145" s="17" t="s">
        <v>234</v>
      </c>
      <c r="T145" s="17" t="s">
        <v>234</v>
      </c>
      <c r="U145" s="18" t="s">
        <v>235</v>
      </c>
      <c r="V145" s="18" t="s">
        <v>235</v>
      </c>
    </row>
    <row r="146" customFormat="false" ht="57.75" hidden="false" customHeight="true" outlineLevel="0" collapsed="false">
      <c r="A146" s="10" t="n">
        <v>21</v>
      </c>
      <c r="B146" s="15" t="s">
        <v>248</v>
      </c>
      <c r="C146" s="12" t="s">
        <v>225</v>
      </c>
      <c r="D146" s="5" t="n">
        <v>2.5</v>
      </c>
      <c r="E146" s="26" t="s">
        <v>38</v>
      </c>
      <c r="F146" s="15" t="s">
        <v>154</v>
      </c>
      <c r="G146" s="15" t="s">
        <v>249</v>
      </c>
      <c r="H146" s="15" t="s">
        <v>227</v>
      </c>
      <c r="I146" s="15" t="s">
        <v>445</v>
      </c>
      <c r="J146" s="15" t="s">
        <v>155</v>
      </c>
      <c r="K146" s="15" t="s">
        <v>251</v>
      </c>
      <c r="L146" s="15" t="s">
        <v>151</v>
      </c>
      <c r="M146" s="24" t="s">
        <v>152</v>
      </c>
      <c r="N146" s="15" t="s">
        <v>199</v>
      </c>
      <c r="O146" s="24" t="s">
        <v>157</v>
      </c>
      <c r="P146" s="15" t="s">
        <v>231</v>
      </c>
      <c r="Q146" s="10" t="s">
        <v>243</v>
      </c>
      <c r="R146" s="29" t="s">
        <v>233</v>
      </c>
      <c r="S146" s="17" t="s">
        <v>234</v>
      </c>
      <c r="T146" s="17" t="s">
        <v>234</v>
      </c>
      <c r="U146" s="17" t="s">
        <v>234</v>
      </c>
      <c r="V146" s="17" t="s">
        <v>234</v>
      </c>
    </row>
    <row r="147" customFormat="false" ht="54" hidden="false" customHeight="true" outlineLevel="0" collapsed="false">
      <c r="A147" s="10" t="n">
        <v>21</v>
      </c>
      <c r="B147" s="15" t="s">
        <v>252</v>
      </c>
      <c r="C147" s="30" t="s">
        <v>253</v>
      </c>
      <c r="D147" s="5" t="n">
        <v>2.5</v>
      </c>
      <c r="E147" s="26" t="s">
        <v>38</v>
      </c>
      <c r="F147" s="15" t="s">
        <v>154</v>
      </c>
      <c r="G147" s="15" t="s">
        <v>254</v>
      </c>
      <c r="H147" s="15" t="s">
        <v>255</v>
      </c>
      <c r="I147" s="15" t="s">
        <v>446</v>
      </c>
      <c r="J147" s="15" t="s">
        <v>257</v>
      </c>
      <c r="K147" s="15" t="s">
        <v>447</v>
      </c>
      <c r="L147" s="15" t="s">
        <v>151</v>
      </c>
      <c r="M147" s="24" t="s">
        <v>152</v>
      </c>
      <c r="N147" s="15" t="s">
        <v>199</v>
      </c>
      <c r="O147" s="24" t="s">
        <v>157</v>
      </c>
      <c r="P147" s="15" t="s">
        <v>231</v>
      </c>
      <c r="Q147" s="10" t="s">
        <v>259</v>
      </c>
      <c r="R147" s="29" t="s">
        <v>233</v>
      </c>
      <c r="S147" s="17" t="s">
        <v>234</v>
      </c>
      <c r="T147" s="17" t="s">
        <v>234</v>
      </c>
      <c r="U147" s="17" t="s">
        <v>234</v>
      </c>
      <c r="V147" s="17" t="s">
        <v>234</v>
      </c>
    </row>
    <row r="148" customFormat="false" ht="31.5" hidden="false" customHeight="true" outlineLevel="0" collapsed="false">
      <c r="A148" s="10" t="n">
        <v>21</v>
      </c>
      <c r="B148" s="15" t="s">
        <v>260</v>
      </c>
      <c r="C148" s="28" t="s">
        <v>261</v>
      </c>
      <c r="D148" s="10" t="n">
        <v>0</v>
      </c>
      <c r="E148" s="26" t="s">
        <v>38</v>
      </c>
      <c r="F148" s="15" t="s">
        <v>154</v>
      </c>
      <c r="G148" s="15" t="s">
        <v>262</v>
      </c>
      <c r="H148" s="15" t="s">
        <v>263</v>
      </c>
      <c r="I148" s="15" t="s">
        <v>264</v>
      </c>
      <c r="J148" s="15" t="s">
        <v>265</v>
      </c>
      <c r="K148" s="15" t="s">
        <v>266</v>
      </c>
      <c r="L148" s="15"/>
      <c r="M148" s="15"/>
      <c r="N148" s="15"/>
      <c r="O148" s="15"/>
      <c r="P148" s="15"/>
      <c r="Q148" s="31" t="s">
        <v>261</v>
      </c>
      <c r="R148" s="31" t="s">
        <v>235</v>
      </c>
      <c r="S148" s="18" t="s">
        <v>235</v>
      </c>
      <c r="T148" s="18" t="s">
        <v>235</v>
      </c>
      <c r="U148" s="18" t="s">
        <v>235</v>
      </c>
      <c r="V148" s="18" t="s">
        <v>235</v>
      </c>
    </row>
    <row r="149" customFormat="false" ht="57.75" hidden="false" customHeight="true" outlineLevel="0" collapsed="false">
      <c r="A149" s="10" t="n">
        <v>22</v>
      </c>
      <c r="B149" s="15" t="s">
        <v>224</v>
      </c>
      <c r="C149" s="12" t="s">
        <v>225</v>
      </c>
      <c r="D149" s="5" t="n">
        <v>2.5</v>
      </c>
      <c r="E149" s="26" t="s">
        <v>38</v>
      </c>
      <c r="F149" s="15" t="s">
        <v>158</v>
      </c>
      <c r="G149" s="15" t="s">
        <v>226</v>
      </c>
      <c r="H149" s="15" t="s">
        <v>227</v>
      </c>
      <c r="I149" s="15" t="s">
        <v>448</v>
      </c>
      <c r="J149" s="15" t="s">
        <v>160</v>
      </c>
      <c r="K149" s="15" t="s">
        <v>449</v>
      </c>
      <c r="L149" s="15" t="s">
        <v>161</v>
      </c>
      <c r="M149" s="24" t="s">
        <v>162</v>
      </c>
      <c r="N149" s="15" t="s">
        <v>450</v>
      </c>
      <c r="O149" s="24" t="s">
        <v>163</v>
      </c>
      <c r="P149" s="15" t="s">
        <v>231</v>
      </c>
      <c r="Q149" s="10" t="s">
        <v>239</v>
      </c>
      <c r="R149" s="29" t="s">
        <v>233</v>
      </c>
      <c r="S149" s="17" t="s">
        <v>234</v>
      </c>
      <c r="T149" s="17" t="s">
        <v>234</v>
      </c>
      <c r="U149" s="18" t="s">
        <v>235</v>
      </c>
      <c r="V149" s="18" t="s">
        <v>235</v>
      </c>
    </row>
    <row r="150" customFormat="false" ht="57.75" hidden="false" customHeight="true" outlineLevel="0" collapsed="false">
      <c r="A150" s="10" t="n">
        <v>22</v>
      </c>
      <c r="B150" s="15" t="s">
        <v>236</v>
      </c>
      <c r="C150" s="12" t="s">
        <v>225</v>
      </c>
      <c r="D150" s="5" t="n">
        <v>2.5</v>
      </c>
      <c r="E150" s="26" t="s">
        <v>38</v>
      </c>
      <c r="F150" s="15" t="s">
        <v>158</v>
      </c>
      <c r="G150" s="15" t="s">
        <v>237</v>
      </c>
      <c r="H150" s="15" t="s">
        <v>227</v>
      </c>
      <c r="I150" s="15" t="s">
        <v>451</v>
      </c>
      <c r="J150" s="15" t="s">
        <v>160</v>
      </c>
      <c r="K150" s="15" t="s">
        <v>449</v>
      </c>
      <c r="L150" s="15" t="s">
        <v>161</v>
      </c>
      <c r="M150" s="24" t="s">
        <v>162</v>
      </c>
      <c r="N150" s="15" t="s">
        <v>450</v>
      </c>
      <c r="O150" s="24" t="s">
        <v>163</v>
      </c>
      <c r="P150" s="15" t="s">
        <v>231</v>
      </c>
      <c r="Q150" s="10" t="s">
        <v>239</v>
      </c>
      <c r="R150" s="29" t="s">
        <v>233</v>
      </c>
      <c r="S150" s="17" t="s">
        <v>234</v>
      </c>
      <c r="T150" s="17" t="s">
        <v>234</v>
      </c>
      <c r="U150" s="18" t="s">
        <v>235</v>
      </c>
      <c r="V150" s="18" t="s">
        <v>235</v>
      </c>
    </row>
    <row r="151" customFormat="false" ht="57.75" hidden="false" customHeight="true" outlineLevel="0" collapsed="false">
      <c r="A151" s="10" t="n">
        <v>22</v>
      </c>
      <c r="B151" s="15" t="s">
        <v>240</v>
      </c>
      <c r="C151" s="12" t="s">
        <v>225</v>
      </c>
      <c r="D151" s="5" t="n">
        <v>2.5</v>
      </c>
      <c r="E151" s="26" t="s">
        <v>38</v>
      </c>
      <c r="F151" s="15" t="s">
        <v>158</v>
      </c>
      <c r="G151" s="15" t="s">
        <v>241</v>
      </c>
      <c r="H151" s="15" t="s">
        <v>227</v>
      </c>
      <c r="I151" s="15" t="s">
        <v>452</v>
      </c>
      <c r="J151" s="15" t="s">
        <v>160</v>
      </c>
      <c r="K151" s="15" t="s">
        <v>449</v>
      </c>
      <c r="L151" s="15" t="s">
        <v>161</v>
      </c>
      <c r="M151" s="24" t="s">
        <v>162</v>
      </c>
      <c r="N151" s="15" t="s">
        <v>450</v>
      </c>
      <c r="O151" s="24" t="s">
        <v>163</v>
      </c>
      <c r="P151" s="15" t="s">
        <v>231</v>
      </c>
      <c r="Q151" s="10" t="s">
        <v>393</v>
      </c>
      <c r="R151" s="29" t="s">
        <v>233</v>
      </c>
      <c r="S151" s="17" t="s">
        <v>234</v>
      </c>
      <c r="T151" s="17" t="s">
        <v>234</v>
      </c>
      <c r="U151" s="17" t="s">
        <v>234</v>
      </c>
      <c r="V151" s="18" t="s">
        <v>235</v>
      </c>
    </row>
    <row r="152" customFormat="false" ht="57.75" hidden="false" customHeight="true" outlineLevel="0" collapsed="false">
      <c r="A152" s="10" t="n">
        <v>22</v>
      </c>
      <c r="B152" s="15" t="s">
        <v>244</v>
      </c>
      <c r="C152" s="12" t="s">
        <v>225</v>
      </c>
      <c r="D152" s="5" t="n">
        <v>2.5</v>
      </c>
      <c r="E152" s="26" t="s">
        <v>38</v>
      </c>
      <c r="F152" s="15" t="s">
        <v>158</v>
      </c>
      <c r="G152" s="15" t="s">
        <v>245</v>
      </c>
      <c r="H152" s="15" t="s">
        <v>227</v>
      </c>
      <c r="I152" s="15" t="s">
        <v>453</v>
      </c>
      <c r="J152" s="15" t="s">
        <v>160</v>
      </c>
      <c r="K152" s="15" t="s">
        <v>449</v>
      </c>
      <c r="L152" s="15" t="s">
        <v>161</v>
      </c>
      <c r="M152" s="24" t="s">
        <v>162</v>
      </c>
      <c r="N152" s="15" t="s">
        <v>450</v>
      </c>
      <c r="O152" s="24" t="s">
        <v>163</v>
      </c>
      <c r="P152" s="15" t="s">
        <v>231</v>
      </c>
      <c r="Q152" s="10" t="s">
        <v>239</v>
      </c>
      <c r="R152" s="29" t="s">
        <v>233</v>
      </c>
      <c r="S152" s="17" t="s">
        <v>234</v>
      </c>
      <c r="T152" s="17" t="s">
        <v>234</v>
      </c>
      <c r="U152" s="18" t="s">
        <v>235</v>
      </c>
      <c r="V152" s="18" t="s">
        <v>235</v>
      </c>
    </row>
    <row r="153" customFormat="false" ht="57.75" hidden="false" customHeight="true" outlineLevel="0" collapsed="false">
      <c r="A153" s="10" t="n">
        <v>22</v>
      </c>
      <c r="B153" s="15" t="s">
        <v>248</v>
      </c>
      <c r="C153" s="12" t="s">
        <v>225</v>
      </c>
      <c r="D153" s="5" t="n">
        <v>2.5</v>
      </c>
      <c r="E153" s="26" t="s">
        <v>38</v>
      </c>
      <c r="F153" s="15" t="s">
        <v>158</v>
      </c>
      <c r="G153" s="15" t="s">
        <v>249</v>
      </c>
      <c r="H153" s="15" t="s">
        <v>227</v>
      </c>
      <c r="I153" s="15" t="s">
        <v>454</v>
      </c>
      <c r="J153" s="15" t="s">
        <v>159</v>
      </c>
      <c r="K153" s="15" t="s">
        <v>251</v>
      </c>
      <c r="L153" s="15" t="s">
        <v>161</v>
      </c>
      <c r="M153" s="24" t="s">
        <v>162</v>
      </c>
      <c r="N153" s="15" t="s">
        <v>450</v>
      </c>
      <c r="O153" s="24" t="s">
        <v>163</v>
      </c>
      <c r="P153" s="15" t="s">
        <v>231</v>
      </c>
      <c r="Q153" s="10" t="s">
        <v>270</v>
      </c>
      <c r="R153" s="29" t="s">
        <v>233</v>
      </c>
      <c r="S153" s="17" t="s">
        <v>234</v>
      </c>
      <c r="T153" s="17" t="s">
        <v>234</v>
      </c>
      <c r="U153" s="18" t="s">
        <v>235</v>
      </c>
      <c r="V153" s="17" t="s">
        <v>234</v>
      </c>
    </row>
    <row r="154" customFormat="false" ht="54" hidden="false" customHeight="true" outlineLevel="0" collapsed="false">
      <c r="A154" s="10" t="n">
        <v>22</v>
      </c>
      <c r="B154" s="15" t="s">
        <v>252</v>
      </c>
      <c r="C154" s="30" t="s">
        <v>253</v>
      </c>
      <c r="D154" s="5" t="n">
        <v>2.5</v>
      </c>
      <c r="E154" s="26" t="s">
        <v>38</v>
      </c>
      <c r="F154" s="15" t="s">
        <v>158</v>
      </c>
      <c r="G154" s="15" t="s">
        <v>254</v>
      </c>
      <c r="H154" s="15" t="s">
        <v>255</v>
      </c>
      <c r="I154" s="15" t="s">
        <v>455</v>
      </c>
      <c r="J154" s="15" t="s">
        <v>257</v>
      </c>
      <c r="K154" s="15" t="s">
        <v>456</v>
      </c>
      <c r="L154" s="15" t="s">
        <v>161</v>
      </c>
      <c r="M154" s="24" t="s">
        <v>162</v>
      </c>
      <c r="N154" s="15" t="s">
        <v>450</v>
      </c>
      <c r="O154" s="24" t="s">
        <v>163</v>
      </c>
      <c r="P154" s="15" t="s">
        <v>231</v>
      </c>
      <c r="Q154" s="10" t="s">
        <v>259</v>
      </c>
      <c r="R154" s="29" t="s">
        <v>233</v>
      </c>
      <c r="S154" s="17" t="s">
        <v>234</v>
      </c>
      <c r="T154" s="17" t="s">
        <v>234</v>
      </c>
      <c r="U154" s="17" t="s">
        <v>234</v>
      </c>
      <c r="V154" s="17" t="s">
        <v>234</v>
      </c>
    </row>
    <row r="155" customFormat="false" ht="31.5" hidden="false" customHeight="true" outlineLevel="0" collapsed="false">
      <c r="A155" s="10" t="n">
        <v>22</v>
      </c>
      <c r="B155" s="15" t="s">
        <v>260</v>
      </c>
      <c r="C155" s="28" t="s">
        <v>261</v>
      </c>
      <c r="D155" s="10" t="n">
        <v>0</v>
      </c>
      <c r="E155" s="26" t="s">
        <v>38</v>
      </c>
      <c r="F155" s="15" t="s">
        <v>158</v>
      </c>
      <c r="G155" s="15" t="s">
        <v>262</v>
      </c>
      <c r="H155" s="15" t="s">
        <v>263</v>
      </c>
      <c r="I155" s="15" t="s">
        <v>264</v>
      </c>
      <c r="J155" s="15" t="s">
        <v>265</v>
      </c>
      <c r="K155" s="15" t="s">
        <v>266</v>
      </c>
      <c r="L155" s="15"/>
      <c r="M155" s="15"/>
      <c r="N155" s="15"/>
      <c r="O155" s="15"/>
      <c r="P155" s="15"/>
      <c r="Q155" s="31" t="s">
        <v>261</v>
      </c>
      <c r="R155" s="31" t="s">
        <v>235</v>
      </c>
      <c r="S155" s="18" t="s">
        <v>235</v>
      </c>
      <c r="T155" s="18" t="s">
        <v>235</v>
      </c>
      <c r="U155" s="18" t="s">
        <v>235</v>
      </c>
      <c r="V155" s="18" t="s">
        <v>235</v>
      </c>
    </row>
    <row r="156" customFormat="false" ht="57.75" hidden="false" customHeight="true" outlineLevel="0" collapsed="false">
      <c r="A156" s="10" t="n">
        <v>23</v>
      </c>
      <c r="B156" s="15" t="s">
        <v>224</v>
      </c>
      <c r="C156" s="12" t="s">
        <v>225</v>
      </c>
      <c r="D156" s="5" t="n">
        <v>2.5</v>
      </c>
      <c r="E156" s="26" t="s">
        <v>38</v>
      </c>
      <c r="F156" s="15" t="s">
        <v>164</v>
      </c>
      <c r="G156" s="15" t="s">
        <v>226</v>
      </c>
      <c r="H156" s="15" t="s">
        <v>227</v>
      </c>
      <c r="I156" s="15" t="s">
        <v>457</v>
      </c>
      <c r="J156" s="15" t="s">
        <v>166</v>
      </c>
      <c r="K156" s="15" t="s">
        <v>458</v>
      </c>
      <c r="L156" s="15" t="s">
        <v>161</v>
      </c>
      <c r="M156" s="24" t="s">
        <v>162</v>
      </c>
      <c r="N156" s="15" t="s">
        <v>184</v>
      </c>
      <c r="O156" s="24" t="s">
        <v>139</v>
      </c>
      <c r="P156" s="15" t="s">
        <v>231</v>
      </c>
      <c r="Q156" s="10" t="s">
        <v>239</v>
      </c>
      <c r="R156" s="29" t="s">
        <v>233</v>
      </c>
      <c r="S156" s="17" t="s">
        <v>234</v>
      </c>
      <c r="T156" s="17" t="s">
        <v>234</v>
      </c>
      <c r="U156" s="18" t="s">
        <v>235</v>
      </c>
      <c r="V156" s="18" t="s">
        <v>235</v>
      </c>
    </row>
    <row r="157" customFormat="false" ht="57.75" hidden="false" customHeight="true" outlineLevel="0" collapsed="false">
      <c r="A157" s="10" t="n">
        <v>23</v>
      </c>
      <c r="B157" s="15" t="s">
        <v>236</v>
      </c>
      <c r="C157" s="12" t="s">
        <v>225</v>
      </c>
      <c r="D157" s="5" t="n">
        <v>2.5</v>
      </c>
      <c r="E157" s="26" t="s">
        <v>38</v>
      </c>
      <c r="F157" s="15" t="s">
        <v>164</v>
      </c>
      <c r="G157" s="15" t="s">
        <v>237</v>
      </c>
      <c r="H157" s="15" t="s">
        <v>227</v>
      </c>
      <c r="I157" s="15" t="s">
        <v>459</v>
      </c>
      <c r="J157" s="15" t="s">
        <v>166</v>
      </c>
      <c r="K157" s="15" t="s">
        <v>458</v>
      </c>
      <c r="L157" s="15" t="s">
        <v>161</v>
      </c>
      <c r="M157" s="24" t="s">
        <v>162</v>
      </c>
      <c r="N157" s="15" t="s">
        <v>184</v>
      </c>
      <c r="O157" s="24" t="s">
        <v>139</v>
      </c>
      <c r="P157" s="15" t="s">
        <v>231</v>
      </c>
      <c r="Q157" s="10" t="s">
        <v>393</v>
      </c>
      <c r="R157" s="32" t="s">
        <v>274</v>
      </c>
      <c r="S157" s="17" t="s">
        <v>234</v>
      </c>
      <c r="T157" s="17" t="s">
        <v>234</v>
      </c>
      <c r="U157" s="17" t="s">
        <v>234</v>
      </c>
      <c r="V157" s="18" t="s">
        <v>235</v>
      </c>
    </row>
    <row r="158" customFormat="false" ht="57.75" hidden="false" customHeight="true" outlineLevel="0" collapsed="false">
      <c r="A158" s="10" t="n">
        <v>23</v>
      </c>
      <c r="B158" s="15" t="s">
        <v>240</v>
      </c>
      <c r="C158" s="12" t="s">
        <v>225</v>
      </c>
      <c r="D158" s="5" t="n">
        <v>2.5</v>
      </c>
      <c r="E158" s="26" t="s">
        <v>38</v>
      </c>
      <c r="F158" s="15" t="s">
        <v>164</v>
      </c>
      <c r="G158" s="15" t="s">
        <v>241</v>
      </c>
      <c r="H158" s="15" t="s">
        <v>227</v>
      </c>
      <c r="I158" s="15" t="s">
        <v>460</v>
      </c>
      <c r="J158" s="15" t="s">
        <v>166</v>
      </c>
      <c r="K158" s="15" t="s">
        <v>458</v>
      </c>
      <c r="L158" s="15" t="s">
        <v>161</v>
      </c>
      <c r="M158" s="24" t="s">
        <v>162</v>
      </c>
      <c r="N158" s="15" t="s">
        <v>184</v>
      </c>
      <c r="O158" s="24" t="s">
        <v>139</v>
      </c>
      <c r="P158" s="15" t="s">
        <v>231</v>
      </c>
      <c r="Q158" s="10" t="s">
        <v>239</v>
      </c>
      <c r="R158" s="29" t="s">
        <v>233</v>
      </c>
      <c r="S158" s="17" t="s">
        <v>234</v>
      </c>
      <c r="T158" s="17" t="s">
        <v>234</v>
      </c>
      <c r="U158" s="18" t="s">
        <v>235</v>
      </c>
      <c r="V158" s="18" t="s">
        <v>235</v>
      </c>
    </row>
    <row r="159" customFormat="false" ht="57.75" hidden="false" customHeight="true" outlineLevel="0" collapsed="false">
      <c r="A159" s="10" t="n">
        <v>23</v>
      </c>
      <c r="B159" s="15" t="s">
        <v>244</v>
      </c>
      <c r="C159" s="12" t="s">
        <v>225</v>
      </c>
      <c r="D159" s="5" t="n">
        <v>2.5</v>
      </c>
      <c r="E159" s="26" t="s">
        <v>38</v>
      </c>
      <c r="F159" s="15" t="s">
        <v>164</v>
      </c>
      <c r="G159" s="15" t="s">
        <v>245</v>
      </c>
      <c r="H159" s="15" t="s">
        <v>227</v>
      </c>
      <c r="I159" s="15" t="s">
        <v>461</v>
      </c>
      <c r="J159" s="15" t="s">
        <v>166</v>
      </c>
      <c r="K159" s="15" t="s">
        <v>458</v>
      </c>
      <c r="L159" s="15" t="s">
        <v>161</v>
      </c>
      <c r="M159" s="24" t="s">
        <v>162</v>
      </c>
      <c r="N159" s="15" t="s">
        <v>184</v>
      </c>
      <c r="O159" s="24" t="s">
        <v>139</v>
      </c>
      <c r="P159" s="15" t="s">
        <v>231</v>
      </c>
      <c r="Q159" s="10" t="s">
        <v>243</v>
      </c>
      <c r="R159" s="32" t="s">
        <v>274</v>
      </c>
      <c r="S159" s="17" t="s">
        <v>234</v>
      </c>
      <c r="T159" s="17" t="s">
        <v>234</v>
      </c>
      <c r="U159" s="17" t="s">
        <v>234</v>
      </c>
      <c r="V159" s="17" t="s">
        <v>234</v>
      </c>
    </row>
    <row r="160" customFormat="false" ht="57.75" hidden="false" customHeight="true" outlineLevel="0" collapsed="false">
      <c r="A160" s="10" t="n">
        <v>23</v>
      </c>
      <c r="B160" s="15" t="s">
        <v>248</v>
      </c>
      <c r="C160" s="12" t="s">
        <v>225</v>
      </c>
      <c r="D160" s="5" t="n">
        <v>2.5</v>
      </c>
      <c r="E160" s="26" t="s">
        <v>38</v>
      </c>
      <c r="F160" s="15" t="s">
        <v>164</v>
      </c>
      <c r="G160" s="15" t="s">
        <v>249</v>
      </c>
      <c r="H160" s="15" t="s">
        <v>227</v>
      </c>
      <c r="I160" s="15" t="s">
        <v>462</v>
      </c>
      <c r="J160" s="15" t="s">
        <v>165</v>
      </c>
      <c r="K160" s="15" t="s">
        <v>251</v>
      </c>
      <c r="L160" s="15" t="s">
        <v>161</v>
      </c>
      <c r="M160" s="24" t="s">
        <v>162</v>
      </c>
      <c r="N160" s="15" t="s">
        <v>184</v>
      </c>
      <c r="O160" s="24" t="s">
        <v>139</v>
      </c>
      <c r="P160" s="15" t="s">
        <v>231</v>
      </c>
      <c r="Q160" s="10" t="s">
        <v>243</v>
      </c>
      <c r="R160" s="32" t="s">
        <v>274</v>
      </c>
      <c r="S160" s="17" t="s">
        <v>234</v>
      </c>
      <c r="T160" s="17" t="s">
        <v>234</v>
      </c>
      <c r="U160" s="17" t="s">
        <v>234</v>
      </c>
      <c r="V160" s="17" t="s">
        <v>234</v>
      </c>
    </row>
    <row r="161" customFormat="false" ht="54" hidden="false" customHeight="true" outlineLevel="0" collapsed="false">
      <c r="A161" s="10" t="n">
        <v>23</v>
      </c>
      <c r="B161" s="15" t="s">
        <v>252</v>
      </c>
      <c r="C161" s="30" t="s">
        <v>253</v>
      </c>
      <c r="D161" s="5" t="n">
        <v>2.5</v>
      </c>
      <c r="E161" s="26" t="s">
        <v>38</v>
      </c>
      <c r="F161" s="15" t="s">
        <v>164</v>
      </c>
      <c r="G161" s="15" t="s">
        <v>254</v>
      </c>
      <c r="H161" s="15" t="s">
        <v>255</v>
      </c>
      <c r="I161" s="15" t="s">
        <v>463</v>
      </c>
      <c r="J161" s="15" t="s">
        <v>257</v>
      </c>
      <c r="K161" s="15" t="s">
        <v>464</v>
      </c>
      <c r="L161" s="15" t="s">
        <v>161</v>
      </c>
      <c r="M161" s="24" t="s">
        <v>162</v>
      </c>
      <c r="N161" s="15" t="s">
        <v>184</v>
      </c>
      <c r="O161" s="24" t="s">
        <v>139</v>
      </c>
      <c r="P161" s="15" t="s">
        <v>231</v>
      </c>
      <c r="Q161" s="10" t="s">
        <v>259</v>
      </c>
      <c r="R161" s="29" t="s">
        <v>233</v>
      </c>
      <c r="S161" s="17" t="s">
        <v>234</v>
      </c>
      <c r="T161" s="17" t="s">
        <v>234</v>
      </c>
      <c r="U161" s="17" t="s">
        <v>234</v>
      </c>
      <c r="V161" s="17" t="s">
        <v>234</v>
      </c>
    </row>
    <row r="162" customFormat="false" ht="31.5" hidden="false" customHeight="true" outlineLevel="0" collapsed="false">
      <c r="A162" s="10" t="n">
        <v>23</v>
      </c>
      <c r="B162" s="15" t="s">
        <v>260</v>
      </c>
      <c r="C162" s="28" t="s">
        <v>261</v>
      </c>
      <c r="D162" s="10" t="n">
        <v>0</v>
      </c>
      <c r="E162" s="26" t="s">
        <v>38</v>
      </c>
      <c r="F162" s="15" t="s">
        <v>164</v>
      </c>
      <c r="G162" s="15" t="s">
        <v>262</v>
      </c>
      <c r="H162" s="15" t="s">
        <v>263</v>
      </c>
      <c r="I162" s="15" t="s">
        <v>264</v>
      </c>
      <c r="J162" s="15" t="s">
        <v>265</v>
      </c>
      <c r="K162" s="15" t="s">
        <v>266</v>
      </c>
      <c r="L162" s="15"/>
      <c r="M162" s="15"/>
      <c r="N162" s="15"/>
      <c r="O162" s="15"/>
      <c r="P162" s="15"/>
      <c r="Q162" s="31" t="s">
        <v>261</v>
      </c>
      <c r="R162" s="31" t="s">
        <v>235</v>
      </c>
      <c r="S162" s="18" t="s">
        <v>235</v>
      </c>
      <c r="T162" s="18" t="s">
        <v>235</v>
      </c>
      <c r="U162" s="18" t="s">
        <v>235</v>
      </c>
      <c r="V162" s="18" t="s">
        <v>235</v>
      </c>
    </row>
    <row r="163" customFormat="false" ht="57.75" hidden="false" customHeight="true" outlineLevel="0" collapsed="false">
      <c r="A163" s="10" t="n">
        <v>24</v>
      </c>
      <c r="B163" s="15" t="s">
        <v>224</v>
      </c>
      <c r="C163" s="12" t="s">
        <v>225</v>
      </c>
      <c r="D163" s="5" t="n">
        <v>2.5</v>
      </c>
      <c r="E163" s="26" t="s">
        <v>38</v>
      </c>
      <c r="F163" s="15" t="s">
        <v>167</v>
      </c>
      <c r="G163" s="15" t="s">
        <v>226</v>
      </c>
      <c r="H163" s="15" t="s">
        <v>227</v>
      </c>
      <c r="I163" s="15" t="s">
        <v>465</v>
      </c>
      <c r="J163" s="15" t="s">
        <v>169</v>
      </c>
      <c r="K163" s="15" t="s">
        <v>466</v>
      </c>
      <c r="L163" s="15" t="s">
        <v>170</v>
      </c>
      <c r="M163" s="24" t="s">
        <v>171</v>
      </c>
      <c r="N163" s="15" t="s">
        <v>450</v>
      </c>
      <c r="O163" s="24" t="s">
        <v>163</v>
      </c>
      <c r="P163" s="15" t="s">
        <v>231</v>
      </c>
      <c r="Q163" s="10" t="s">
        <v>239</v>
      </c>
      <c r="R163" s="29" t="s">
        <v>233</v>
      </c>
      <c r="S163" s="17" t="s">
        <v>234</v>
      </c>
      <c r="T163" s="17" t="s">
        <v>234</v>
      </c>
      <c r="U163" s="18" t="s">
        <v>235</v>
      </c>
      <c r="V163" s="18" t="s">
        <v>235</v>
      </c>
    </row>
    <row r="164" customFormat="false" ht="57.75" hidden="false" customHeight="true" outlineLevel="0" collapsed="false">
      <c r="A164" s="10" t="n">
        <v>24</v>
      </c>
      <c r="B164" s="15" t="s">
        <v>236</v>
      </c>
      <c r="C164" s="12" t="s">
        <v>225</v>
      </c>
      <c r="D164" s="5" t="n">
        <v>2.5</v>
      </c>
      <c r="E164" s="26" t="s">
        <v>38</v>
      </c>
      <c r="F164" s="15" t="s">
        <v>167</v>
      </c>
      <c r="G164" s="15" t="s">
        <v>237</v>
      </c>
      <c r="H164" s="15" t="s">
        <v>227</v>
      </c>
      <c r="I164" s="15" t="s">
        <v>467</v>
      </c>
      <c r="J164" s="15" t="s">
        <v>169</v>
      </c>
      <c r="K164" s="15" t="s">
        <v>466</v>
      </c>
      <c r="L164" s="15" t="s">
        <v>170</v>
      </c>
      <c r="M164" s="24" t="s">
        <v>171</v>
      </c>
      <c r="N164" s="15" t="s">
        <v>450</v>
      </c>
      <c r="O164" s="24" t="s">
        <v>163</v>
      </c>
      <c r="P164" s="15" t="s">
        <v>231</v>
      </c>
      <c r="Q164" s="10" t="s">
        <v>243</v>
      </c>
      <c r="R164" s="32" t="s">
        <v>274</v>
      </c>
      <c r="S164" s="17" t="s">
        <v>234</v>
      </c>
      <c r="T164" s="17" t="s">
        <v>234</v>
      </c>
      <c r="U164" s="17" t="s">
        <v>234</v>
      </c>
      <c r="V164" s="17" t="s">
        <v>234</v>
      </c>
    </row>
    <row r="165" customFormat="false" ht="57.75" hidden="false" customHeight="true" outlineLevel="0" collapsed="false">
      <c r="A165" s="10" t="n">
        <v>24</v>
      </c>
      <c r="B165" s="15" t="s">
        <v>240</v>
      </c>
      <c r="C165" s="12" t="s">
        <v>225</v>
      </c>
      <c r="D165" s="5" t="n">
        <v>2.5</v>
      </c>
      <c r="E165" s="26" t="s">
        <v>38</v>
      </c>
      <c r="F165" s="15" t="s">
        <v>167</v>
      </c>
      <c r="G165" s="15" t="s">
        <v>241</v>
      </c>
      <c r="H165" s="15" t="s">
        <v>227</v>
      </c>
      <c r="I165" s="15" t="s">
        <v>468</v>
      </c>
      <c r="J165" s="15" t="s">
        <v>169</v>
      </c>
      <c r="K165" s="15" t="s">
        <v>466</v>
      </c>
      <c r="L165" s="15" t="s">
        <v>170</v>
      </c>
      <c r="M165" s="24" t="s">
        <v>171</v>
      </c>
      <c r="N165" s="15" t="s">
        <v>450</v>
      </c>
      <c r="O165" s="24" t="s">
        <v>163</v>
      </c>
      <c r="P165" s="15" t="s">
        <v>231</v>
      </c>
      <c r="Q165" s="10" t="s">
        <v>243</v>
      </c>
      <c r="R165" s="29" t="s">
        <v>233</v>
      </c>
      <c r="S165" s="17" t="s">
        <v>234</v>
      </c>
      <c r="T165" s="17" t="s">
        <v>234</v>
      </c>
      <c r="U165" s="17" t="s">
        <v>234</v>
      </c>
      <c r="V165" s="17" t="s">
        <v>234</v>
      </c>
    </row>
    <row r="166" customFormat="false" ht="57.75" hidden="false" customHeight="true" outlineLevel="0" collapsed="false">
      <c r="A166" s="10" t="n">
        <v>24</v>
      </c>
      <c r="B166" s="15" t="s">
        <v>244</v>
      </c>
      <c r="C166" s="12" t="s">
        <v>225</v>
      </c>
      <c r="D166" s="5" t="n">
        <v>2.5</v>
      </c>
      <c r="E166" s="26" t="s">
        <v>38</v>
      </c>
      <c r="F166" s="15" t="s">
        <v>167</v>
      </c>
      <c r="G166" s="15" t="s">
        <v>245</v>
      </c>
      <c r="H166" s="15" t="s">
        <v>227</v>
      </c>
      <c r="I166" s="15" t="s">
        <v>469</v>
      </c>
      <c r="J166" s="15" t="s">
        <v>169</v>
      </c>
      <c r="K166" s="15" t="s">
        <v>466</v>
      </c>
      <c r="L166" s="15" t="s">
        <v>170</v>
      </c>
      <c r="M166" s="24" t="s">
        <v>171</v>
      </c>
      <c r="N166" s="15" t="s">
        <v>450</v>
      </c>
      <c r="O166" s="24" t="s">
        <v>163</v>
      </c>
      <c r="P166" s="15" t="s">
        <v>231</v>
      </c>
      <c r="Q166" s="10" t="s">
        <v>243</v>
      </c>
      <c r="R166" s="32" t="s">
        <v>274</v>
      </c>
      <c r="S166" s="17" t="s">
        <v>234</v>
      </c>
      <c r="T166" s="17" t="s">
        <v>234</v>
      </c>
      <c r="U166" s="17" t="s">
        <v>234</v>
      </c>
      <c r="V166" s="17" t="s">
        <v>234</v>
      </c>
    </row>
    <row r="167" customFormat="false" ht="57.75" hidden="false" customHeight="true" outlineLevel="0" collapsed="false">
      <c r="A167" s="10" t="n">
        <v>24</v>
      </c>
      <c r="B167" s="15" t="s">
        <v>248</v>
      </c>
      <c r="C167" s="12" t="s">
        <v>225</v>
      </c>
      <c r="D167" s="5" t="n">
        <v>2.5</v>
      </c>
      <c r="E167" s="26" t="s">
        <v>38</v>
      </c>
      <c r="F167" s="15" t="s">
        <v>167</v>
      </c>
      <c r="G167" s="15" t="s">
        <v>249</v>
      </c>
      <c r="H167" s="15" t="s">
        <v>227</v>
      </c>
      <c r="I167" s="15" t="s">
        <v>470</v>
      </c>
      <c r="J167" s="15" t="s">
        <v>168</v>
      </c>
      <c r="K167" s="15" t="s">
        <v>251</v>
      </c>
      <c r="L167" s="15" t="s">
        <v>170</v>
      </c>
      <c r="M167" s="24" t="s">
        <v>171</v>
      </c>
      <c r="N167" s="15" t="s">
        <v>450</v>
      </c>
      <c r="O167" s="24" t="s">
        <v>163</v>
      </c>
      <c r="P167" s="15" t="s">
        <v>231</v>
      </c>
      <c r="Q167" s="10" t="s">
        <v>243</v>
      </c>
      <c r="R167" s="29" t="s">
        <v>233</v>
      </c>
      <c r="S167" s="17" t="s">
        <v>234</v>
      </c>
      <c r="T167" s="17" t="s">
        <v>234</v>
      </c>
      <c r="U167" s="17" t="s">
        <v>234</v>
      </c>
      <c r="V167" s="17" t="s">
        <v>234</v>
      </c>
    </row>
    <row r="168" customFormat="false" ht="54" hidden="false" customHeight="true" outlineLevel="0" collapsed="false">
      <c r="A168" s="10" t="n">
        <v>24</v>
      </c>
      <c r="B168" s="15" t="s">
        <v>252</v>
      </c>
      <c r="C168" s="30" t="s">
        <v>253</v>
      </c>
      <c r="D168" s="5" t="n">
        <v>2.5</v>
      </c>
      <c r="E168" s="26" t="s">
        <v>38</v>
      </c>
      <c r="F168" s="15" t="s">
        <v>167</v>
      </c>
      <c r="G168" s="15" t="s">
        <v>254</v>
      </c>
      <c r="H168" s="15" t="s">
        <v>255</v>
      </c>
      <c r="I168" s="15" t="s">
        <v>471</v>
      </c>
      <c r="J168" s="15" t="s">
        <v>257</v>
      </c>
      <c r="K168" s="15" t="s">
        <v>472</v>
      </c>
      <c r="L168" s="15" t="s">
        <v>170</v>
      </c>
      <c r="M168" s="24" t="s">
        <v>171</v>
      </c>
      <c r="N168" s="15" t="s">
        <v>450</v>
      </c>
      <c r="O168" s="24" t="s">
        <v>163</v>
      </c>
      <c r="P168" s="15" t="s">
        <v>231</v>
      </c>
      <c r="Q168" s="10" t="s">
        <v>259</v>
      </c>
      <c r="R168" s="29" t="s">
        <v>233</v>
      </c>
      <c r="S168" s="17" t="s">
        <v>234</v>
      </c>
      <c r="T168" s="17" t="s">
        <v>234</v>
      </c>
      <c r="U168" s="17" t="s">
        <v>234</v>
      </c>
      <c r="V168" s="17" t="s">
        <v>234</v>
      </c>
    </row>
    <row r="169" customFormat="false" ht="31.5" hidden="false" customHeight="true" outlineLevel="0" collapsed="false">
      <c r="A169" s="10" t="n">
        <v>24</v>
      </c>
      <c r="B169" s="15" t="s">
        <v>260</v>
      </c>
      <c r="C169" s="28" t="s">
        <v>261</v>
      </c>
      <c r="D169" s="10" t="n">
        <v>0</v>
      </c>
      <c r="E169" s="26" t="s">
        <v>38</v>
      </c>
      <c r="F169" s="15" t="s">
        <v>167</v>
      </c>
      <c r="G169" s="15" t="s">
        <v>262</v>
      </c>
      <c r="H169" s="15" t="s">
        <v>263</v>
      </c>
      <c r="I169" s="15" t="s">
        <v>264</v>
      </c>
      <c r="J169" s="15" t="s">
        <v>265</v>
      </c>
      <c r="K169" s="15" t="s">
        <v>266</v>
      </c>
      <c r="L169" s="15"/>
      <c r="M169" s="15"/>
      <c r="N169" s="15"/>
      <c r="O169" s="15"/>
      <c r="P169" s="15"/>
      <c r="Q169" s="31" t="s">
        <v>261</v>
      </c>
      <c r="R169" s="31" t="s">
        <v>235</v>
      </c>
      <c r="S169" s="18" t="s">
        <v>235</v>
      </c>
      <c r="T169" s="18" t="s">
        <v>235</v>
      </c>
      <c r="U169" s="18" t="s">
        <v>235</v>
      </c>
      <c r="V169" s="18" t="s">
        <v>235</v>
      </c>
    </row>
    <row r="170" customFormat="false" ht="57.75" hidden="false" customHeight="true" outlineLevel="0" collapsed="false">
      <c r="A170" s="10" t="n">
        <v>25</v>
      </c>
      <c r="B170" s="15" t="s">
        <v>224</v>
      </c>
      <c r="C170" s="12" t="s">
        <v>225</v>
      </c>
      <c r="D170" s="5" t="n">
        <v>2.5</v>
      </c>
      <c r="E170" s="26" t="s">
        <v>38</v>
      </c>
      <c r="F170" s="15" t="s">
        <v>172</v>
      </c>
      <c r="G170" s="15" t="s">
        <v>226</v>
      </c>
      <c r="H170" s="15" t="s">
        <v>227</v>
      </c>
      <c r="I170" s="15" t="s">
        <v>473</v>
      </c>
      <c r="J170" s="15" t="s">
        <v>174</v>
      </c>
      <c r="K170" s="15" t="s">
        <v>474</v>
      </c>
      <c r="L170" s="15" t="s">
        <v>175</v>
      </c>
      <c r="M170" s="24" t="s">
        <v>176</v>
      </c>
      <c r="N170" s="15" t="s">
        <v>170</v>
      </c>
      <c r="O170" s="24" t="s">
        <v>171</v>
      </c>
      <c r="P170" s="15" t="s">
        <v>231</v>
      </c>
      <c r="Q170" s="10" t="s">
        <v>393</v>
      </c>
      <c r="R170" s="29" t="s">
        <v>233</v>
      </c>
      <c r="S170" s="17" t="s">
        <v>234</v>
      </c>
      <c r="T170" s="17" t="s">
        <v>234</v>
      </c>
      <c r="U170" s="17" t="s">
        <v>234</v>
      </c>
      <c r="V170" s="18" t="s">
        <v>235</v>
      </c>
    </row>
    <row r="171" customFormat="false" ht="57.75" hidden="false" customHeight="true" outlineLevel="0" collapsed="false">
      <c r="A171" s="10" t="n">
        <v>25</v>
      </c>
      <c r="B171" s="15" t="s">
        <v>236</v>
      </c>
      <c r="C171" s="12" t="s">
        <v>225</v>
      </c>
      <c r="D171" s="5" t="n">
        <v>2.5</v>
      </c>
      <c r="E171" s="26" t="s">
        <v>38</v>
      </c>
      <c r="F171" s="15" t="s">
        <v>172</v>
      </c>
      <c r="G171" s="15" t="s">
        <v>237</v>
      </c>
      <c r="H171" s="15" t="s">
        <v>227</v>
      </c>
      <c r="I171" s="15" t="s">
        <v>475</v>
      </c>
      <c r="J171" s="15" t="s">
        <v>174</v>
      </c>
      <c r="K171" s="15" t="s">
        <v>474</v>
      </c>
      <c r="L171" s="15" t="s">
        <v>175</v>
      </c>
      <c r="M171" s="24" t="s">
        <v>176</v>
      </c>
      <c r="N171" s="15" t="s">
        <v>170</v>
      </c>
      <c r="O171" s="24" t="s">
        <v>171</v>
      </c>
      <c r="P171" s="15" t="s">
        <v>231</v>
      </c>
      <c r="Q171" s="10" t="s">
        <v>270</v>
      </c>
      <c r="R171" s="32" t="s">
        <v>274</v>
      </c>
      <c r="S171" s="17" t="s">
        <v>234</v>
      </c>
      <c r="T171" s="17" t="s">
        <v>234</v>
      </c>
      <c r="U171" s="18" t="s">
        <v>235</v>
      </c>
      <c r="V171" s="17" t="s">
        <v>234</v>
      </c>
    </row>
    <row r="172" customFormat="false" ht="57.75" hidden="false" customHeight="true" outlineLevel="0" collapsed="false">
      <c r="A172" s="10" t="n">
        <v>25</v>
      </c>
      <c r="B172" s="15" t="s">
        <v>240</v>
      </c>
      <c r="C172" s="12" t="s">
        <v>225</v>
      </c>
      <c r="D172" s="5" t="n">
        <v>2.5</v>
      </c>
      <c r="E172" s="26" t="s">
        <v>38</v>
      </c>
      <c r="F172" s="15" t="s">
        <v>172</v>
      </c>
      <c r="G172" s="15" t="s">
        <v>241</v>
      </c>
      <c r="H172" s="15" t="s">
        <v>227</v>
      </c>
      <c r="I172" s="15" t="s">
        <v>476</v>
      </c>
      <c r="J172" s="15" t="s">
        <v>174</v>
      </c>
      <c r="K172" s="15" t="s">
        <v>474</v>
      </c>
      <c r="L172" s="15" t="s">
        <v>175</v>
      </c>
      <c r="M172" s="24" t="s">
        <v>176</v>
      </c>
      <c r="N172" s="15" t="s">
        <v>170</v>
      </c>
      <c r="O172" s="24" t="s">
        <v>171</v>
      </c>
      <c r="P172" s="15" t="s">
        <v>231</v>
      </c>
      <c r="Q172" s="10" t="s">
        <v>270</v>
      </c>
      <c r="R172" s="32" t="s">
        <v>274</v>
      </c>
      <c r="S172" s="17" t="s">
        <v>234</v>
      </c>
      <c r="T172" s="17" t="s">
        <v>234</v>
      </c>
      <c r="U172" s="18" t="s">
        <v>235</v>
      </c>
      <c r="V172" s="17" t="s">
        <v>234</v>
      </c>
    </row>
    <row r="173" customFormat="false" ht="57.75" hidden="false" customHeight="true" outlineLevel="0" collapsed="false">
      <c r="A173" s="10" t="n">
        <v>25</v>
      </c>
      <c r="B173" s="15" t="s">
        <v>244</v>
      </c>
      <c r="C173" s="12" t="s">
        <v>225</v>
      </c>
      <c r="D173" s="5" t="n">
        <v>2.5</v>
      </c>
      <c r="E173" s="26" t="s">
        <v>38</v>
      </c>
      <c r="F173" s="15" t="s">
        <v>172</v>
      </c>
      <c r="G173" s="15" t="s">
        <v>245</v>
      </c>
      <c r="H173" s="15" t="s">
        <v>227</v>
      </c>
      <c r="I173" s="15" t="s">
        <v>477</v>
      </c>
      <c r="J173" s="15" t="s">
        <v>174</v>
      </c>
      <c r="K173" s="15" t="s">
        <v>474</v>
      </c>
      <c r="L173" s="15" t="s">
        <v>175</v>
      </c>
      <c r="M173" s="24" t="s">
        <v>176</v>
      </c>
      <c r="N173" s="15" t="s">
        <v>170</v>
      </c>
      <c r="O173" s="24" t="s">
        <v>171</v>
      </c>
      <c r="P173" s="15" t="s">
        <v>231</v>
      </c>
      <c r="Q173" s="10" t="s">
        <v>243</v>
      </c>
      <c r="R173" s="32" t="s">
        <v>274</v>
      </c>
      <c r="S173" s="17" t="s">
        <v>234</v>
      </c>
      <c r="T173" s="17" t="s">
        <v>234</v>
      </c>
      <c r="U173" s="17" t="s">
        <v>234</v>
      </c>
      <c r="V173" s="17" t="s">
        <v>234</v>
      </c>
    </row>
    <row r="174" customFormat="false" ht="57.75" hidden="false" customHeight="true" outlineLevel="0" collapsed="false">
      <c r="A174" s="10" t="n">
        <v>25</v>
      </c>
      <c r="B174" s="15" t="s">
        <v>248</v>
      </c>
      <c r="C174" s="12" t="s">
        <v>225</v>
      </c>
      <c r="D174" s="5" t="n">
        <v>2.5</v>
      </c>
      <c r="E174" s="26" t="s">
        <v>38</v>
      </c>
      <c r="F174" s="15" t="s">
        <v>172</v>
      </c>
      <c r="G174" s="15" t="s">
        <v>249</v>
      </c>
      <c r="H174" s="15" t="s">
        <v>227</v>
      </c>
      <c r="I174" s="15" t="s">
        <v>478</v>
      </c>
      <c r="J174" s="15" t="s">
        <v>173</v>
      </c>
      <c r="K174" s="15" t="s">
        <v>251</v>
      </c>
      <c r="L174" s="15" t="s">
        <v>175</v>
      </c>
      <c r="M174" s="24" t="s">
        <v>176</v>
      </c>
      <c r="N174" s="15" t="s">
        <v>170</v>
      </c>
      <c r="O174" s="24" t="s">
        <v>171</v>
      </c>
      <c r="P174" s="15" t="s">
        <v>231</v>
      </c>
      <c r="Q174" s="10" t="s">
        <v>393</v>
      </c>
      <c r="R174" s="29" t="s">
        <v>233</v>
      </c>
      <c r="S174" s="17" t="s">
        <v>234</v>
      </c>
      <c r="T174" s="17" t="s">
        <v>234</v>
      </c>
      <c r="U174" s="17" t="s">
        <v>234</v>
      </c>
      <c r="V174" s="18" t="s">
        <v>235</v>
      </c>
    </row>
    <row r="175" customFormat="false" ht="54" hidden="false" customHeight="true" outlineLevel="0" collapsed="false">
      <c r="A175" s="10" t="n">
        <v>25</v>
      </c>
      <c r="B175" s="15" t="s">
        <v>252</v>
      </c>
      <c r="C175" s="30" t="s">
        <v>253</v>
      </c>
      <c r="D175" s="5" t="n">
        <v>2.5</v>
      </c>
      <c r="E175" s="26" t="s">
        <v>38</v>
      </c>
      <c r="F175" s="15" t="s">
        <v>172</v>
      </c>
      <c r="G175" s="15" t="s">
        <v>254</v>
      </c>
      <c r="H175" s="15" t="s">
        <v>255</v>
      </c>
      <c r="I175" s="15" t="s">
        <v>479</v>
      </c>
      <c r="J175" s="15" t="s">
        <v>257</v>
      </c>
      <c r="K175" s="15" t="s">
        <v>480</v>
      </c>
      <c r="L175" s="15" t="s">
        <v>175</v>
      </c>
      <c r="M175" s="24" t="s">
        <v>176</v>
      </c>
      <c r="N175" s="15" t="s">
        <v>170</v>
      </c>
      <c r="O175" s="24" t="s">
        <v>171</v>
      </c>
      <c r="P175" s="15" t="s">
        <v>231</v>
      </c>
      <c r="Q175" s="10" t="s">
        <v>259</v>
      </c>
      <c r="R175" s="29" t="s">
        <v>233</v>
      </c>
      <c r="S175" s="17" t="s">
        <v>234</v>
      </c>
      <c r="T175" s="17" t="s">
        <v>234</v>
      </c>
      <c r="U175" s="17" t="s">
        <v>234</v>
      </c>
      <c r="V175" s="17" t="s">
        <v>234</v>
      </c>
    </row>
    <row r="176" customFormat="false" ht="31.5" hidden="false" customHeight="true" outlineLevel="0" collapsed="false">
      <c r="A176" s="10" t="n">
        <v>25</v>
      </c>
      <c r="B176" s="15" t="s">
        <v>260</v>
      </c>
      <c r="C176" s="28" t="s">
        <v>261</v>
      </c>
      <c r="D176" s="10" t="n">
        <v>0</v>
      </c>
      <c r="E176" s="26" t="s">
        <v>38</v>
      </c>
      <c r="F176" s="15" t="s">
        <v>172</v>
      </c>
      <c r="G176" s="15" t="s">
        <v>262</v>
      </c>
      <c r="H176" s="15" t="s">
        <v>263</v>
      </c>
      <c r="I176" s="15" t="s">
        <v>264</v>
      </c>
      <c r="J176" s="15" t="s">
        <v>265</v>
      </c>
      <c r="K176" s="15" t="s">
        <v>266</v>
      </c>
      <c r="L176" s="15"/>
      <c r="M176" s="15"/>
      <c r="N176" s="15"/>
      <c r="O176" s="15"/>
      <c r="P176" s="15"/>
      <c r="Q176" s="31" t="s">
        <v>261</v>
      </c>
      <c r="R176" s="31" t="s">
        <v>235</v>
      </c>
      <c r="S176" s="18" t="s">
        <v>235</v>
      </c>
      <c r="T176" s="18" t="s">
        <v>235</v>
      </c>
      <c r="U176" s="18" t="s">
        <v>235</v>
      </c>
      <c r="V176" s="18" t="s">
        <v>235</v>
      </c>
    </row>
    <row r="177" customFormat="false" ht="57.75" hidden="false" customHeight="true" outlineLevel="0" collapsed="false">
      <c r="A177" s="10" t="n">
        <v>26</v>
      </c>
      <c r="B177" s="15" t="s">
        <v>224</v>
      </c>
      <c r="C177" s="12" t="s">
        <v>225</v>
      </c>
      <c r="D177" s="5" t="n">
        <v>2.5</v>
      </c>
      <c r="E177" s="26" t="s">
        <v>38</v>
      </c>
      <c r="F177" s="15" t="s">
        <v>177</v>
      </c>
      <c r="G177" s="15" t="s">
        <v>226</v>
      </c>
      <c r="H177" s="15" t="s">
        <v>227</v>
      </c>
      <c r="I177" s="15" t="s">
        <v>481</v>
      </c>
      <c r="J177" s="15" t="s">
        <v>179</v>
      </c>
      <c r="K177" s="15" t="s">
        <v>482</v>
      </c>
      <c r="L177" s="15" t="s">
        <v>180</v>
      </c>
      <c r="M177" s="24" t="s">
        <v>82</v>
      </c>
      <c r="N177" s="15" t="s">
        <v>450</v>
      </c>
      <c r="O177" s="24" t="s">
        <v>163</v>
      </c>
      <c r="P177" s="15" t="s">
        <v>231</v>
      </c>
      <c r="Q177" s="10" t="s">
        <v>239</v>
      </c>
      <c r="R177" s="29" t="s">
        <v>233</v>
      </c>
      <c r="S177" s="17" t="s">
        <v>234</v>
      </c>
      <c r="T177" s="17" t="s">
        <v>234</v>
      </c>
      <c r="U177" s="18" t="s">
        <v>235</v>
      </c>
      <c r="V177" s="18" t="s">
        <v>235</v>
      </c>
    </row>
    <row r="178" customFormat="false" ht="57.75" hidden="false" customHeight="true" outlineLevel="0" collapsed="false">
      <c r="A178" s="10" t="n">
        <v>26</v>
      </c>
      <c r="B178" s="15" t="s">
        <v>236</v>
      </c>
      <c r="C178" s="12" t="s">
        <v>225</v>
      </c>
      <c r="D178" s="5" t="n">
        <v>2.5</v>
      </c>
      <c r="E178" s="26" t="s">
        <v>38</v>
      </c>
      <c r="F178" s="15" t="s">
        <v>177</v>
      </c>
      <c r="G178" s="15" t="s">
        <v>237</v>
      </c>
      <c r="H178" s="15" t="s">
        <v>227</v>
      </c>
      <c r="I178" s="15" t="s">
        <v>483</v>
      </c>
      <c r="J178" s="15" t="s">
        <v>179</v>
      </c>
      <c r="K178" s="15" t="s">
        <v>482</v>
      </c>
      <c r="L178" s="15" t="s">
        <v>180</v>
      </c>
      <c r="M178" s="24" t="s">
        <v>82</v>
      </c>
      <c r="N178" s="15" t="s">
        <v>450</v>
      </c>
      <c r="O178" s="24" t="s">
        <v>163</v>
      </c>
      <c r="P178" s="15" t="s">
        <v>231</v>
      </c>
      <c r="Q178" s="10" t="s">
        <v>220</v>
      </c>
      <c r="R178" s="29" t="s">
        <v>233</v>
      </c>
      <c r="S178" s="17" t="s">
        <v>234</v>
      </c>
      <c r="T178" s="18" t="s">
        <v>235</v>
      </c>
      <c r="U178" s="18" t="s">
        <v>235</v>
      </c>
      <c r="V178" s="18" t="s">
        <v>235</v>
      </c>
    </row>
    <row r="179" customFormat="false" ht="57.75" hidden="false" customHeight="true" outlineLevel="0" collapsed="false">
      <c r="A179" s="10" t="n">
        <v>26</v>
      </c>
      <c r="B179" s="15" t="s">
        <v>240</v>
      </c>
      <c r="C179" s="12" t="s">
        <v>225</v>
      </c>
      <c r="D179" s="5" t="n">
        <v>2.5</v>
      </c>
      <c r="E179" s="26" t="s">
        <v>38</v>
      </c>
      <c r="F179" s="15" t="s">
        <v>177</v>
      </c>
      <c r="G179" s="15" t="s">
        <v>241</v>
      </c>
      <c r="H179" s="15" t="s">
        <v>227</v>
      </c>
      <c r="I179" s="15" t="s">
        <v>484</v>
      </c>
      <c r="J179" s="15" t="s">
        <v>179</v>
      </c>
      <c r="K179" s="15" t="s">
        <v>482</v>
      </c>
      <c r="L179" s="15" t="s">
        <v>180</v>
      </c>
      <c r="M179" s="24" t="s">
        <v>82</v>
      </c>
      <c r="N179" s="15" t="s">
        <v>450</v>
      </c>
      <c r="O179" s="24" t="s">
        <v>163</v>
      </c>
      <c r="P179" s="15" t="s">
        <v>231</v>
      </c>
      <c r="Q179" s="10" t="s">
        <v>239</v>
      </c>
      <c r="R179" s="29" t="s">
        <v>233</v>
      </c>
      <c r="S179" s="17" t="s">
        <v>234</v>
      </c>
      <c r="T179" s="17" t="s">
        <v>234</v>
      </c>
      <c r="U179" s="18" t="s">
        <v>235</v>
      </c>
      <c r="V179" s="18" t="s">
        <v>235</v>
      </c>
    </row>
    <row r="180" customFormat="false" ht="57.75" hidden="false" customHeight="true" outlineLevel="0" collapsed="false">
      <c r="A180" s="10" t="n">
        <v>26</v>
      </c>
      <c r="B180" s="15" t="s">
        <v>244</v>
      </c>
      <c r="C180" s="12" t="s">
        <v>225</v>
      </c>
      <c r="D180" s="5" t="n">
        <v>2.5</v>
      </c>
      <c r="E180" s="26" t="s">
        <v>38</v>
      </c>
      <c r="F180" s="15" t="s">
        <v>177</v>
      </c>
      <c r="G180" s="15" t="s">
        <v>245</v>
      </c>
      <c r="H180" s="15" t="s">
        <v>227</v>
      </c>
      <c r="I180" s="15" t="s">
        <v>485</v>
      </c>
      <c r="J180" s="15" t="s">
        <v>179</v>
      </c>
      <c r="K180" s="15" t="s">
        <v>482</v>
      </c>
      <c r="L180" s="15" t="s">
        <v>180</v>
      </c>
      <c r="M180" s="24" t="s">
        <v>82</v>
      </c>
      <c r="N180" s="15" t="s">
        <v>450</v>
      </c>
      <c r="O180" s="24" t="s">
        <v>163</v>
      </c>
      <c r="P180" s="15" t="s">
        <v>231</v>
      </c>
      <c r="Q180" s="10" t="s">
        <v>285</v>
      </c>
      <c r="R180" s="29" t="s">
        <v>233</v>
      </c>
      <c r="S180" s="17" t="s">
        <v>234</v>
      </c>
      <c r="T180" s="18" t="s">
        <v>235</v>
      </c>
      <c r="U180" s="17" t="s">
        <v>234</v>
      </c>
      <c r="V180" s="17" t="s">
        <v>234</v>
      </c>
    </row>
    <row r="181" customFormat="false" ht="57.75" hidden="false" customHeight="true" outlineLevel="0" collapsed="false">
      <c r="A181" s="10" t="n">
        <v>26</v>
      </c>
      <c r="B181" s="15" t="s">
        <v>248</v>
      </c>
      <c r="C181" s="12" t="s">
        <v>225</v>
      </c>
      <c r="D181" s="5" t="n">
        <v>2.5</v>
      </c>
      <c r="E181" s="26" t="s">
        <v>38</v>
      </c>
      <c r="F181" s="15" t="s">
        <v>177</v>
      </c>
      <c r="G181" s="15" t="s">
        <v>249</v>
      </c>
      <c r="H181" s="15" t="s">
        <v>227</v>
      </c>
      <c r="I181" s="15" t="s">
        <v>486</v>
      </c>
      <c r="J181" s="15" t="s">
        <v>178</v>
      </c>
      <c r="K181" s="15" t="s">
        <v>251</v>
      </c>
      <c r="L181" s="15" t="s">
        <v>180</v>
      </c>
      <c r="M181" s="24" t="s">
        <v>82</v>
      </c>
      <c r="N181" s="15" t="s">
        <v>450</v>
      </c>
      <c r="O181" s="24" t="s">
        <v>163</v>
      </c>
      <c r="P181" s="15" t="s">
        <v>231</v>
      </c>
      <c r="Q181" s="10" t="s">
        <v>285</v>
      </c>
      <c r="R181" s="29" t="s">
        <v>233</v>
      </c>
      <c r="S181" s="17" t="s">
        <v>234</v>
      </c>
      <c r="T181" s="18" t="s">
        <v>235</v>
      </c>
      <c r="U181" s="17" t="s">
        <v>234</v>
      </c>
      <c r="V181" s="17" t="s">
        <v>234</v>
      </c>
    </row>
    <row r="182" customFormat="false" ht="54" hidden="false" customHeight="true" outlineLevel="0" collapsed="false">
      <c r="A182" s="10" t="n">
        <v>26</v>
      </c>
      <c r="B182" s="15" t="s">
        <v>252</v>
      </c>
      <c r="C182" s="30" t="s">
        <v>253</v>
      </c>
      <c r="D182" s="5" t="n">
        <v>2.5</v>
      </c>
      <c r="E182" s="26" t="s">
        <v>38</v>
      </c>
      <c r="F182" s="15" t="s">
        <v>177</v>
      </c>
      <c r="G182" s="15" t="s">
        <v>254</v>
      </c>
      <c r="H182" s="15" t="s">
        <v>255</v>
      </c>
      <c r="I182" s="15" t="s">
        <v>487</v>
      </c>
      <c r="J182" s="15" t="s">
        <v>257</v>
      </c>
      <c r="K182" s="15" t="s">
        <v>488</v>
      </c>
      <c r="L182" s="15" t="s">
        <v>180</v>
      </c>
      <c r="M182" s="24" t="s">
        <v>82</v>
      </c>
      <c r="N182" s="15" t="s">
        <v>450</v>
      </c>
      <c r="O182" s="24" t="s">
        <v>163</v>
      </c>
      <c r="P182" s="15" t="s">
        <v>231</v>
      </c>
      <c r="Q182" s="10" t="s">
        <v>259</v>
      </c>
      <c r="R182" s="29" t="s">
        <v>233</v>
      </c>
      <c r="S182" s="17" t="s">
        <v>234</v>
      </c>
      <c r="T182" s="17" t="s">
        <v>234</v>
      </c>
      <c r="U182" s="17" t="s">
        <v>234</v>
      </c>
      <c r="V182" s="17" t="s">
        <v>234</v>
      </c>
    </row>
    <row r="183" customFormat="false" ht="31.5" hidden="false" customHeight="true" outlineLevel="0" collapsed="false">
      <c r="A183" s="10" t="n">
        <v>26</v>
      </c>
      <c r="B183" s="15" t="s">
        <v>260</v>
      </c>
      <c r="C183" s="28" t="s">
        <v>261</v>
      </c>
      <c r="D183" s="10" t="n">
        <v>0</v>
      </c>
      <c r="E183" s="26" t="s">
        <v>38</v>
      </c>
      <c r="F183" s="15" t="s">
        <v>177</v>
      </c>
      <c r="G183" s="15" t="s">
        <v>262</v>
      </c>
      <c r="H183" s="15" t="s">
        <v>263</v>
      </c>
      <c r="I183" s="15" t="s">
        <v>264</v>
      </c>
      <c r="J183" s="15" t="s">
        <v>265</v>
      </c>
      <c r="K183" s="15" t="s">
        <v>266</v>
      </c>
      <c r="L183" s="15"/>
      <c r="M183" s="15"/>
      <c r="N183" s="15"/>
      <c r="O183" s="15"/>
      <c r="P183" s="15"/>
      <c r="Q183" s="31" t="s">
        <v>261</v>
      </c>
      <c r="R183" s="31" t="s">
        <v>235</v>
      </c>
      <c r="S183" s="18" t="s">
        <v>235</v>
      </c>
      <c r="T183" s="18" t="s">
        <v>235</v>
      </c>
      <c r="U183" s="18" t="s">
        <v>235</v>
      </c>
      <c r="V183" s="18" t="s">
        <v>235</v>
      </c>
    </row>
    <row r="184" customFormat="false" ht="57.75" hidden="false" customHeight="true" outlineLevel="0" collapsed="false">
      <c r="A184" s="10" t="n">
        <v>27</v>
      </c>
      <c r="B184" s="15" t="s">
        <v>224</v>
      </c>
      <c r="C184" s="12" t="s">
        <v>225</v>
      </c>
      <c r="D184" s="5" t="n">
        <v>2.5</v>
      </c>
      <c r="E184" s="26" t="s">
        <v>38</v>
      </c>
      <c r="F184" s="15" t="s">
        <v>181</v>
      </c>
      <c r="G184" s="15" t="s">
        <v>226</v>
      </c>
      <c r="H184" s="15" t="s">
        <v>227</v>
      </c>
      <c r="I184" s="15" t="s">
        <v>489</v>
      </c>
      <c r="J184" s="15" t="s">
        <v>183</v>
      </c>
      <c r="K184" s="15" t="s">
        <v>490</v>
      </c>
      <c r="L184" s="15" t="s">
        <v>184</v>
      </c>
      <c r="M184" s="24" t="s">
        <v>139</v>
      </c>
      <c r="N184" s="15" t="s">
        <v>384</v>
      </c>
      <c r="O184" s="15"/>
      <c r="P184" s="15" t="s">
        <v>231</v>
      </c>
      <c r="Q184" s="10" t="s">
        <v>221</v>
      </c>
      <c r="R184" s="29" t="s">
        <v>233</v>
      </c>
      <c r="S184" s="18" t="s">
        <v>235</v>
      </c>
      <c r="T184" s="17" t="s">
        <v>234</v>
      </c>
      <c r="U184" s="18" t="s">
        <v>235</v>
      </c>
      <c r="V184" s="18" t="s">
        <v>235</v>
      </c>
    </row>
    <row r="185" customFormat="false" ht="57.75" hidden="false" customHeight="true" outlineLevel="0" collapsed="false">
      <c r="A185" s="10" t="n">
        <v>27</v>
      </c>
      <c r="B185" s="15" t="s">
        <v>236</v>
      </c>
      <c r="C185" s="12" t="s">
        <v>225</v>
      </c>
      <c r="D185" s="5" t="n">
        <v>2.5</v>
      </c>
      <c r="E185" s="26" t="s">
        <v>38</v>
      </c>
      <c r="F185" s="15" t="s">
        <v>181</v>
      </c>
      <c r="G185" s="15" t="s">
        <v>237</v>
      </c>
      <c r="H185" s="15" t="s">
        <v>227</v>
      </c>
      <c r="I185" s="15" t="s">
        <v>491</v>
      </c>
      <c r="J185" s="15" t="s">
        <v>183</v>
      </c>
      <c r="K185" s="15" t="s">
        <v>490</v>
      </c>
      <c r="L185" s="15" t="s">
        <v>184</v>
      </c>
      <c r="M185" s="24" t="s">
        <v>139</v>
      </c>
      <c r="N185" s="15" t="s">
        <v>384</v>
      </c>
      <c r="O185" s="15"/>
      <c r="P185" s="15" t="s">
        <v>231</v>
      </c>
      <c r="Q185" s="10" t="s">
        <v>221</v>
      </c>
      <c r="R185" s="29" t="s">
        <v>233</v>
      </c>
      <c r="S185" s="18" t="s">
        <v>235</v>
      </c>
      <c r="T185" s="17" t="s">
        <v>234</v>
      </c>
      <c r="U185" s="18" t="s">
        <v>235</v>
      </c>
      <c r="V185" s="18" t="s">
        <v>235</v>
      </c>
    </row>
    <row r="186" customFormat="false" ht="57.75" hidden="false" customHeight="true" outlineLevel="0" collapsed="false">
      <c r="A186" s="10" t="n">
        <v>27</v>
      </c>
      <c r="B186" s="15" t="s">
        <v>240</v>
      </c>
      <c r="C186" s="12" t="s">
        <v>225</v>
      </c>
      <c r="D186" s="5" t="n">
        <v>2.5</v>
      </c>
      <c r="E186" s="26" t="s">
        <v>38</v>
      </c>
      <c r="F186" s="15" t="s">
        <v>181</v>
      </c>
      <c r="G186" s="15" t="s">
        <v>241</v>
      </c>
      <c r="H186" s="15" t="s">
        <v>227</v>
      </c>
      <c r="I186" s="15" t="s">
        <v>492</v>
      </c>
      <c r="J186" s="15" t="s">
        <v>183</v>
      </c>
      <c r="K186" s="15" t="s">
        <v>490</v>
      </c>
      <c r="L186" s="15" t="s">
        <v>184</v>
      </c>
      <c r="M186" s="24" t="s">
        <v>139</v>
      </c>
      <c r="N186" s="15" t="s">
        <v>384</v>
      </c>
      <c r="O186" s="15"/>
      <c r="P186" s="15" t="s">
        <v>231</v>
      </c>
      <c r="Q186" s="10" t="s">
        <v>221</v>
      </c>
      <c r="R186" s="29" t="s">
        <v>233</v>
      </c>
      <c r="S186" s="18" t="s">
        <v>235</v>
      </c>
      <c r="T186" s="17" t="s">
        <v>234</v>
      </c>
      <c r="U186" s="18" t="s">
        <v>235</v>
      </c>
      <c r="V186" s="18" t="s">
        <v>235</v>
      </c>
    </row>
    <row r="187" customFormat="false" ht="57.75" hidden="false" customHeight="true" outlineLevel="0" collapsed="false">
      <c r="A187" s="10" t="n">
        <v>27</v>
      </c>
      <c r="B187" s="15" t="s">
        <v>244</v>
      </c>
      <c r="C187" s="12" t="s">
        <v>225</v>
      </c>
      <c r="D187" s="5" t="n">
        <v>2.5</v>
      </c>
      <c r="E187" s="26" t="s">
        <v>38</v>
      </c>
      <c r="F187" s="15" t="s">
        <v>181</v>
      </c>
      <c r="G187" s="15" t="s">
        <v>245</v>
      </c>
      <c r="H187" s="15" t="s">
        <v>227</v>
      </c>
      <c r="I187" s="15" t="s">
        <v>493</v>
      </c>
      <c r="J187" s="15" t="s">
        <v>183</v>
      </c>
      <c r="K187" s="15" t="s">
        <v>490</v>
      </c>
      <c r="L187" s="15" t="s">
        <v>184</v>
      </c>
      <c r="M187" s="24" t="s">
        <v>139</v>
      </c>
      <c r="N187" s="15" t="s">
        <v>384</v>
      </c>
      <c r="O187" s="15"/>
      <c r="P187" s="15" t="s">
        <v>231</v>
      </c>
      <c r="Q187" s="10" t="s">
        <v>333</v>
      </c>
      <c r="R187" s="29" t="s">
        <v>233</v>
      </c>
      <c r="S187" s="18" t="s">
        <v>235</v>
      </c>
      <c r="T187" s="17" t="s">
        <v>234</v>
      </c>
      <c r="U187" s="18" t="s">
        <v>235</v>
      </c>
      <c r="V187" s="17" t="s">
        <v>234</v>
      </c>
    </row>
    <row r="188" customFormat="false" ht="57.75" hidden="false" customHeight="true" outlineLevel="0" collapsed="false">
      <c r="A188" s="10" t="n">
        <v>27</v>
      </c>
      <c r="B188" s="15" t="s">
        <v>248</v>
      </c>
      <c r="C188" s="12" t="s">
        <v>225</v>
      </c>
      <c r="D188" s="5" t="n">
        <v>2.5</v>
      </c>
      <c r="E188" s="26" t="s">
        <v>38</v>
      </c>
      <c r="F188" s="15" t="s">
        <v>181</v>
      </c>
      <c r="G188" s="15" t="s">
        <v>249</v>
      </c>
      <c r="H188" s="15" t="s">
        <v>227</v>
      </c>
      <c r="I188" s="15" t="s">
        <v>494</v>
      </c>
      <c r="J188" s="15" t="s">
        <v>182</v>
      </c>
      <c r="K188" s="15" t="s">
        <v>251</v>
      </c>
      <c r="L188" s="15" t="s">
        <v>184</v>
      </c>
      <c r="M188" s="24" t="s">
        <v>139</v>
      </c>
      <c r="N188" s="15" t="s">
        <v>384</v>
      </c>
      <c r="O188" s="15"/>
      <c r="P188" s="15" t="s">
        <v>231</v>
      </c>
      <c r="Q188" s="10" t="s">
        <v>333</v>
      </c>
      <c r="R188" s="29" t="s">
        <v>233</v>
      </c>
      <c r="S188" s="18" t="s">
        <v>235</v>
      </c>
      <c r="T188" s="17" t="s">
        <v>234</v>
      </c>
      <c r="U188" s="18" t="s">
        <v>235</v>
      </c>
      <c r="V188" s="17" t="s">
        <v>234</v>
      </c>
    </row>
    <row r="189" customFormat="false" ht="54" hidden="false" customHeight="true" outlineLevel="0" collapsed="false">
      <c r="A189" s="10" t="n">
        <v>27</v>
      </c>
      <c r="B189" s="15" t="s">
        <v>252</v>
      </c>
      <c r="C189" s="30" t="s">
        <v>253</v>
      </c>
      <c r="D189" s="5" t="n">
        <v>2.5</v>
      </c>
      <c r="E189" s="26" t="s">
        <v>38</v>
      </c>
      <c r="F189" s="15" t="s">
        <v>181</v>
      </c>
      <c r="G189" s="15" t="s">
        <v>254</v>
      </c>
      <c r="H189" s="15" t="s">
        <v>255</v>
      </c>
      <c r="I189" s="15" t="s">
        <v>495</v>
      </c>
      <c r="J189" s="15" t="s">
        <v>257</v>
      </c>
      <c r="K189" s="15" t="s">
        <v>496</v>
      </c>
      <c r="L189" s="15" t="s">
        <v>184</v>
      </c>
      <c r="M189" s="24" t="s">
        <v>139</v>
      </c>
      <c r="N189" s="15" t="s">
        <v>384</v>
      </c>
      <c r="O189" s="15"/>
      <c r="P189" s="15" t="s">
        <v>231</v>
      </c>
      <c r="Q189" s="10" t="s">
        <v>307</v>
      </c>
      <c r="R189" s="32" t="s">
        <v>274</v>
      </c>
      <c r="S189" s="18" t="s">
        <v>235</v>
      </c>
      <c r="T189" s="17" t="s">
        <v>234</v>
      </c>
      <c r="U189" s="17" t="s">
        <v>234</v>
      </c>
      <c r="V189" s="17" t="s">
        <v>234</v>
      </c>
    </row>
    <row r="190" customFormat="false" ht="31.5" hidden="false" customHeight="true" outlineLevel="0" collapsed="false">
      <c r="A190" s="10" t="n">
        <v>27</v>
      </c>
      <c r="B190" s="15" t="s">
        <v>260</v>
      </c>
      <c r="C190" s="28" t="s">
        <v>261</v>
      </c>
      <c r="D190" s="10" t="n">
        <v>0</v>
      </c>
      <c r="E190" s="26" t="s">
        <v>38</v>
      </c>
      <c r="F190" s="15" t="s">
        <v>181</v>
      </c>
      <c r="G190" s="15" t="s">
        <v>262</v>
      </c>
      <c r="H190" s="15" t="s">
        <v>263</v>
      </c>
      <c r="I190" s="15" t="s">
        <v>264</v>
      </c>
      <c r="J190" s="15" t="s">
        <v>265</v>
      </c>
      <c r="K190" s="15" t="s">
        <v>266</v>
      </c>
      <c r="L190" s="15"/>
      <c r="M190" s="15"/>
      <c r="N190" s="15"/>
      <c r="O190" s="15"/>
      <c r="P190" s="15"/>
      <c r="Q190" s="31" t="s">
        <v>261</v>
      </c>
      <c r="R190" s="31" t="s">
        <v>235</v>
      </c>
      <c r="S190" s="18" t="s">
        <v>235</v>
      </c>
      <c r="T190" s="18" t="s">
        <v>235</v>
      </c>
      <c r="U190" s="18" t="s">
        <v>235</v>
      </c>
      <c r="V190" s="18" t="s">
        <v>235</v>
      </c>
    </row>
    <row r="191" customFormat="false" ht="57.75" hidden="false" customHeight="true" outlineLevel="0" collapsed="false">
      <c r="A191" s="10" t="n">
        <v>28</v>
      </c>
      <c r="B191" s="15" t="s">
        <v>224</v>
      </c>
      <c r="C191" s="12" t="s">
        <v>225</v>
      </c>
      <c r="D191" s="5" t="n">
        <v>2.5</v>
      </c>
      <c r="E191" s="27" t="s">
        <v>42</v>
      </c>
      <c r="F191" s="15" t="s">
        <v>185</v>
      </c>
      <c r="G191" s="15" t="s">
        <v>226</v>
      </c>
      <c r="H191" s="15" t="s">
        <v>227</v>
      </c>
      <c r="I191" s="15" t="s">
        <v>497</v>
      </c>
      <c r="J191" s="15" t="s">
        <v>187</v>
      </c>
      <c r="K191" s="15" t="s">
        <v>498</v>
      </c>
      <c r="L191" s="15" t="s">
        <v>188</v>
      </c>
      <c r="M191" s="24" t="s">
        <v>153</v>
      </c>
      <c r="N191" s="15" t="s">
        <v>499</v>
      </c>
      <c r="O191" s="24" t="s">
        <v>189</v>
      </c>
      <c r="P191" s="15" t="s">
        <v>231</v>
      </c>
      <c r="Q191" s="10" t="s">
        <v>221</v>
      </c>
      <c r="R191" s="29" t="s">
        <v>233</v>
      </c>
      <c r="S191" s="18" t="s">
        <v>235</v>
      </c>
      <c r="T191" s="17" t="s">
        <v>234</v>
      </c>
      <c r="U191" s="18" t="s">
        <v>235</v>
      </c>
      <c r="V191" s="18" t="s">
        <v>235</v>
      </c>
    </row>
    <row r="192" customFormat="false" ht="57.75" hidden="false" customHeight="true" outlineLevel="0" collapsed="false">
      <c r="A192" s="10" t="n">
        <v>28</v>
      </c>
      <c r="B192" s="15" t="s">
        <v>236</v>
      </c>
      <c r="C192" s="12" t="s">
        <v>225</v>
      </c>
      <c r="D192" s="5" t="n">
        <v>2.5</v>
      </c>
      <c r="E192" s="27" t="s">
        <v>42</v>
      </c>
      <c r="F192" s="15" t="s">
        <v>185</v>
      </c>
      <c r="G192" s="15" t="s">
        <v>237</v>
      </c>
      <c r="H192" s="15" t="s">
        <v>227</v>
      </c>
      <c r="I192" s="15" t="s">
        <v>500</v>
      </c>
      <c r="J192" s="15" t="s">
        <v>187</v>
      </c>
      <c r="K192" s="15" t="s">
        <v>498</v>
      </c>
      <c r="L192" s="15" t="s">
        <v>188</v>
      </c>
      <c r="M192" s="24" t="s">
        <v>153</v>
      </c>
      <c r="N192" s="15" t="s">
        <v>499</v>
      </c>
      <c r="O192" s="24" t="s">
        <v>189</v>
      </c>
      <c r="P192" s="15" t="s">
        <v>231</v>
      </c>
      <c r="Q192" s="10" t="s">
        <v>221</v>
      </c>
      <c r="R192" s="29" t="s">
        <v>233</v>
      </c>
      <c r="S192" s="18" t="s">
        <v>235</v>
      </c>
      <c r="T192" s="17" t="s">
        <v>234</v>
      </c>
      <c r="U192" s="18" t="s">
        <v>235</v>
      </c>
      <c r="V192" s="18" t="s">
        <v>235</v>
      </c>
    </row>
    <row r="193" customFormat="false" ht="57.75" hidden="false" customHeight="true" outlineLevel="0" collapsed="false">
      <c r="A193" s="10" t="n">
        <v>28</v>
      </c>
      <c r="B193" s="15" t="s">
        <v>240</v>
      </c>
      <c r="C193" s="12" t="s">
        <v>225</v>
      </c>
      <c r="D193" s="5" t="n">
        <v>2.5</v>
      </c>
      <c r="E193" s="27" t="s">
        <v>42</v>
      </c>
      <c r="F193" s="15" t="s">
        <v>185</v>
      </c>
      <c r="G193" s="15" t="s">
        <v>241</v>
      </c>
      <c r="H193" s="15" t="s">
        <v>227</v>
      </c>
      <c r="I193" s="15" t="s">
        <v>501</v>
      </c>
      <c r="J193" s="15" t="s">
        <v>187</v>
      </c>
      <c r="K193" s="15" t="s">
        <v>498</v>
      </c>
      <c r="L193" s="15" t="s">
        <v>188</v>
      </c>
      <c r="M193" s="24" t="s">
        <v>153</v>
      </c>
      <c r="N193" s="15" t="s">
        <v>499</v>
      </c>
      <c r="O193" s="24" t="s">
        <v>189</v>
      </c>
      <c r="P193" s="15" t="s">
        <v>231</v>
      </c>
      <c r="Q193" s="10" t="s">
        <v>221</v>
      </c>
      <c r="R193" s="29" t="s">
        <v>233</v>
      </c>
      <c r="S193" s="18" t="s">
        <v>235</v>
      </c>
      <c r="T193" s="17" t="s">
        <v>234</v>
      </c>
      <c r="U193" s="18" t="s">
        <v>235</v>
      </c>
      <c r="V193" s="18" t="s">
        <v>235</v>
      </c>
    </row>
    <row r="194" customFormat="false" ht="57.75" hidden="false" customHeight="true" outlineLevel="0" collapsed="false">
      <c r="A194" s="10" t="n">
        <v>28</v>
      </c>
      <c r="B194" s="15" t="s">
        <v>244</v>
      </c>
      <c r="C194" s="12" t="s">
        <v>225</v>
      </c>
      <c r="D194" s="5" t="n">
        <v>2.5</v>
      </c>
      <c r="E194" s="27" t="s">
        <v>42</v>
      </c>
      <c r="F194" s="15" t="s">
        <v>185</v>
      </c>
      <c r="G194" s="15" t="s">
        <v>245</v>
      </c>
      <c r="H194" s="15" t="s">
        <v>227</v>
      </c>
      <c r="I194" s="15" t="s">
        <v>502</v>
      </c>
      <c r="J194" s="15" t="s">
        <v>187</v>
      </c>
      <c r="K194" s="15" t="s">
        <v>498</v>
      </c>
      <c r="L194" s="15" t="s">
        <v>188</v>
      </c>
      <c r="M194" s="24" t="s">
        <v>153</v>
      </c>
      <c r="N194" s="15" t="s">
        <v>499</v>
      </c>
      <c r="O194" s="24" t="s">
        <v>189</v>
      </c>
      <c r="P194" s="15" t="s">
        <v>231</v>
      </c>
      <c r="Q194" s="10" t="s">
        <v>313</v>
      </c>
      <c r="R194" s="29" t="s">
        <v>233</v>
      </c>
      <c r="S194" s="18" t="s">
        <v>235</v>
      </c>
      <c r="T194" s="17" t="s">
        <v>234</v>
      </c>
      <c r="U194" s="17" t="s">
        <v>234</v>
      </c>
      <c r="V194" s="17" t="s">
        <v>234</v>
      </c>
    </row>
    <row r="195" customFormat="false" ht="57.75" hidden="false" customHeight="true" outlineLevel="0" collapsed="false">
      <c r="A195" s="10" t="n">
        <v>28</v>
      </c>
      <c r="B195" s="15" t="s">
        <v>248</v>
      </c>
      <c r="C195" s="12" t="s">
        <v>225</v>
      </c>
      <c r="D195" s="5" t="n">
        <v>2.5</v>
      </c>
      <c r="E195" s="27" t="s">
        <v>42</v>
      </c>
      <c r="F195" s="15" t="s">
        <v>185</v>
      </c>
      <c r="G195" s="15" t="s">
        <v>249</v>
      </c>
      <c r="H195" s="15" t="s">
        <v>227</v>
      </c>
      <c r="I195" s="15" t="s">
        <v>503</v>
      </c>
      <c r="J195" s="15" t="s">
        <v>186</v>
      </c>
      <c r="K195" s="15" t="s">
        <v>251</v>
      </c>
      <c r="L195" s="15" t="s">
        <v>188</v>
      </c>
      <c r="M195" s="24" t="s">
        <v>153</v>
      </c>
      <c r="N195" s="15" t="s">
        <v>499</v>
      </c>
      <c r="O195" s="24" t="s">
        <v>189</v>
      </c>
      <c r="P195" s="15" t="s">
        <v>231</v>
      </c>
      <c r="Q195" s="10" t="s">
        <v>313</v>
      </c>
      <c r="R195" s="29" t="s">
        <v>233</v>
      </c>
      <c r="S195" s="18" t="s">
        <v>235</v>
      </c>
      <c r="T195" s="17" t="s">
        <v>234</v>
      </c>
      <c r="U195" s="17" t="s">
        <v>234</v>
      </c>
      <c r="V195" s="17" t="s">
        <v>234</v>
      </c>
    </row>
    <row r="196" customFormat="false" ht="54" hidden="false" customHeight="true" outlineLevel="0" collapsed="false">
      <c r="A196" s="10" t="n">
        <v>28</v>
      </c>
      <c r="B196" s="15" t="s">
        <v>252</v>
      </c>
      <c r="C196" s="30" t="s">
        <v>253</v>
      </c>
      <c r="D196" s="5" t="n">
        <v>2.5</v>
      </c>
      <c r="E196" s="27" t="s">
        <v>42</v>
      </c>
      <c r="F196" s="15" t="s">
        <v>185</v>
      </c>
      <c r="G196" s="15" t="s">
        <v>254</v>
      </c>
      <c r="H196" s="15" t="s">
        <v>255</v>
      </c>
      <c r="I196" s="15" t="s">
        <v>504</v>
      </c>
      <c r="J196" s="15" t="s">
        <v>257</v>
      </c>
      <c r="K196" s="15" t="s">
        <v>505</v>
      </c>
      <c r="L196" s="15" t="s">
        <v>188</v>
      </c>
      <c r="M196" s="24" t="s">
        <v>153</v>
      </c>
      <c r="N196" s="15" t="s">
        <v>499</v>
      </c>
      <c r="O196" s="24" t="s">
        <v>189</v>
      </c>
      <c r="P196" s="15" t="s">
        <v>231</v>
      </c>
      <c r="Q196" s="10" t="s">
        <v>307</v>
      </c>
      <c r="R196" s="29" t="s">
        <v>233</v>
      </c>
      <c r="S196" s="18" t="s">
        <v>235</v>
      </c>
      <c r="T196" s="17" t="s">
        <v>234</v>
      </c>
      <c r="U196" s="17" t="s">
        <v>234</v>
      </c>
      <c r="V196" s="17" t="s">
        <v>234</v>
      </c>
    </row>
    <row r="197" customFormat="false" ht="31.5" hidden="false" customHeight="true" outlineLevel="0" collapsed="false">
      <c r="A197" s="10" t="n">
        <v>28</v>
      </c>
      <c r="B197" s="15" t="s">
        <v>260</v>
      </c>
      <c r="C197" s="28" t="s">
        <v>261</v>
      </c>
      <c r="D197" s="10" t="n">
        <v>0</v>
      </c>
      <c r="E197" s="27" t="s">
        <v>42</v>
      </c>
      <c r="F197" s="15" t="s">
        <v>185</v>
      </c>
      <c r="G197" s="15" t="s">
        <v>262</v>
      </c>
      <c r="H197" s="15" t="s">
        <v>263</v>
      </c>
      <c r="I197" s="15" t="s">
        <v>264</v>
      </c>
      <c r="J197" s="15" t="s">
        <v>265</v>
      </c>
      <c r="K197" s="15" t="s">
        <v>266</v>
      </c>
      <c r="L197" s="15"/>
      <c r="M197" s="15"/>
      <c r="N197" s="15"/>
      <c r="O197" s="15"/>
      <c r="P197" s="15"/>
      <c r="Q197" s="31" t="s">
        <v>261</v>
      </c>
      <c r="R197" s="31" t="s">
        <v>235</v>
      </c>
      <c r="S197" s="18" t="s">
        <v>235</v>
      </c>
      <c r="T197" s="18" t="s">
        <v>235</v>
      </c>
      <c r="U197" s="18" t="s">
        <v>235</v>
      </c>
      <c r="V197" s="18" t="s">
        <v>235</v>
      </c>
    </row>
    <row r="198" customFormat="false" ht="57.75" hidden="false" customHeight="true" outlineLevel="0" collapsed="false">
      <c r="A198" s="10" t="n">
        <v>29</v>
      </c>
      <c r="B198" s="15" t="s">
        <v>224</v>
      </c>
      <c r="C198" s="12" t="s">
        <v>225</v>
      </c>
      <c r="D198" s="5" t="n">
        <v>2.5</v>
      </c>
      <c r="E198" s="27" t="s">
        <v>42</v>
      </c>
      <c r="F198" s="15" t="s">
        <v>190</v>
      </c>
      <c r="G198" s="15" t="s">
        <v>226</v>
      </c>
      <c r="H198" s="15" t="s">
        <v>227</v>
      </c>
      <c r="I198" s="15" t="s">
        <v>506</v>
      </c>
      <c r="J198" s="15" t="s">
        <v>192</v>
      </c>
      <c r="K198" s="15" t="s">
        <v>507</v>
      </c>
      <c r="L198" s="15" t="s">
        <v>193</v>
      </c>
      <c r="M198" s="24" t="s">
        <v>194</v>
      </c>
      <c r="N198" s="15" t="s">
        <v>508</v>
      </c>
      <c r="O198" s="24" t="s">
        <v>195</v>
      </c>
      <c r="P198" s="15" t="s">
        <v>231</v>
      </c>
      <c r="Q198" s="10" t="s">
        <v>221</v>
      </c>
      <c r="R198" s="29" t="s">
        <v>233</v>
      </c>
      <c r="S198" s="18" t="s">
        <v>235</v>
      </c>
      <c r="T198" s="17" t="s">
        <v>234</v>
      </c>
      <c r="U198" s="18" t="s">
        <v>235</v>
      </c>
      <c r="V198" s="18" t="s">
        <v>235</v>
      </c>
    </row>
    <row r="199" customFormat="false" ht="57.75" hidden="false" customHeight="true" outlineLevel="0" collapsed="false">
      <c r="A199" s="10" t="n">
        <v>29</v>
      </c>
      <c r="B199" s="15" t="s">
        <v>236</v>
      </c>
      <c r="C199" s="12" t="s">
        <v>225</v>
      </c>
      <c r="D199" s="5" t="n">
        <v>2.5</v>
      </c>
      <c r="E199" s="27" t="s">
        <v>42</v>
      </c>
      <c r="F199" s="15" t="s">
        <v>190</v>
      </c>
      <c r="G199" s="15" t="s">
        <v>237</v>
      </c>
      <c r="H199" s="15" t="s">
        <v>227</v>
      </c>
      <c r="I199" s="15" t="s">
        <v>509</v>
      </c>
      <c r="J199" s="15" t="s">
        <v>192</v>
      </c>
      <c r="K199" s="15" t="s">
        <v>507</v>
      </c>
      <c r="L199" s="15" t="s">
        <v>193</v>
      </c>
      <c r="M199" s="24" t="s">
        <v>194</v>
      </c>
      <c r="N199" s="15" t="s">
        <v>508</v>
      </c>
      <c r="O199" s="24" t="s">
        <v>195</v>
      </c>
      <c r="P199" s="15" t="s">
        <v>231</v>
      </c>
      <c r="Q199" s="10" t="s">
        <v>221</v>
      </c>
      <c r="R199" s="29" t="s">
        <v>233</v>
      </c>
      <c r="S199" s="18" t="s">
        <v>235</v>
      </c>
      <c r="T199" s="17" t="s">
        <v>234</v>
      </c>
      <c r="U199" s="18" t="s">
        <v>235</v>
      </c>
      <c r="V199" s="18" t="s">
        <v>235</v>
      </c>
    </row>
    <row r="200" customFormat="false" ht="57.75" hidden="false" customHeight="true" outlineLevel="0" collapsed="false">
      <c r="A200" s="10" t="n">
        <v>29</v>
      </c>
      <c r="B200" s="15" t="s">
        <v>240</v>
      </c>
      <c r="C200" s="12" t="s">
        <v>225</v>
      </c>
      <c r="D200" s="5" t="n">
        <v>2.5</v>
      </c>
      <c r="E200" s="27" t="s">
        <v>42</v>
      </c>
      <c r="F200" s="15" t="s">
        <v>190</v>
      </c>
      <c r="G200" s="15" t="s">
        <v>241</v>
      </c>
      <c r="H200" s="15" t="s">
        <v>227</v>
      </c>
      <c r="I200" s="15" t="s">
        <v>510</v>
      </c>
      <c r="J200" s="15" t="s">
        <v>192</v>
      </c>
      <c r="K200" s="15" t="s">
        <v>507</v>
      </c>
      <c r="L200" s="15" t="s">
        <v>193</v>
      </c>
      <c r="M200" s="24" t="s">
        <v>194</v>
      </c>
      <c r="N200" s="15" t="s">
        <v>508</v>
      </c>
      <c r="O200" s="24" t="s">
        <v>195</v>
      </c>
      <c r="P200" s="15" t="s">
        <v>231</v>
      </c>
      <c r="Q200" s="10" t="s">
        <v>221</v>
      </c>
      <c r="R200" s="29" t="s">
        <v>233</v>
      </c>
      <c r="S200" s="18" t="s">
        <v>235</v>
      </c>
      <c r="T200" s="17" t="s">
        <v>234</v>
      </c>
      <c r="U200" s="18" t="s">
        <v>235</v>
      </c>
      <c r="V200" s="18" t="s">
        <v>235</v>
      </c>
    </row>
    <row r="201" customFormat="false" ht="57.75" hidden="false" customHeight="true" outlineLevel="0" collapsed="false">
      <c r="A201" s="10" t="n">
        <v>29</v>
      </c>
      <c r="B201" s="15" t="s">
        <v>244</v>
      </c>
      <c r="C201" s="12" t="s">
        <v>225</v>
      </c>
      <c r="D201" s="5" t="n">
        <v>2.5</v>
      </c>
      <c r="E201" s="27" t="s">
        <v>42</v>
      </c>
      <c r="F201" s="15" t="s">
        <v>190</v>
      </c>
      <c r="G201" s="15" t="s">
        <v>245</v>
      </c>
      <c r="H201" s="15" t="s">
        <v>227</v>
      </c>
      <c r="I201" s="15" t="s">
        <v>511</v>
      </c>
      <c r="J201" s="15" t="s">
        <v>192</v>
      </c>
      <c r="K201" s="15" t="s">
        <v>507</v>
      </c>
      <c r="L201" s="15" t="s">
        <v>193</v>
      </c>
      <c r="M201" s="24" t="s">
        <v>194</v>
      </c>
      <c r="N201" s="15" t="s">
        <v>508</v>
      </c>
      <c r="O201" s="24" t="s">
        <v>195</v>
      </c>
      <c r="P201" s="15" t="s">
        <v>231</v>
      </c>
      <c r="Q201" s="10" t="s">
        <v>313</v>
      </c>
      <c r="R201" s="29" t="s">
        <v>233</v>
      </c>
      <c r="S201" s="18" t="s">
        <v>235</v>
      </c>
      <c r="T201" s="17" t="s">
        <v>234</v>
      </c>
      <c r="U201" s="17" t="s">
        <v>234</v>
      </c>
      <c r="V201" s="17" t="s">
        <v>234</v>
      </c>
    </row>
    <row r="202" customFormat="false" ht="57.75" hidden="false" customHeight="true" outlineLevel="0" collapsed="false">
      <c r="A202" s="10" t="n">
        <v>29</v>
      </c>
      <c r="B202" s="15" t="s">
        <v>248</v>
      </c>
      <c r="C202" s="12" t="s">
        <v>225</v>
      </c>
      <c r="D202" s="5" t="n">
        <v>2.5</v>
      </c>
      <c r="E202" s="27" t="s">
        <v>42</v>
      </c>
      <c r="F202" s="15" t="s">
        <v>190</v>
      </c>
      <c r="G202" s="15" t="s">
        <v>249</v>
      </c>
      <c r="H202" s="15" t="s">
        <v>227</v>
      </c>
      <c r="I202" s="15" t="s">
        <v>512</v>
      </c>
      <c r="J202" s="15" t="s">
        <v>191</v>
      </c>
      <c r="K202" s="15" t="s">
        <v>251</v>
      </c>
      <c r="L202" s="15" t="s">
        <v>193</v>
      </c>
      <c r="M202" s="24" t="s">
        <v>194</v>
      </c>
      <c r="N202" s="15" t="s">
        <v>508</v>
      </c>
      <c r="O202" s="24" t="s">
        <v>195</v>
      </c>
      <c r="P202" s="15" t="s">
        <v>231</v>
      </c>
      <c r="Q202" s="10" t="s">
        <v>313</v>
      </c>
      <c r="R202" s="29" t="s">
        <v>233</v>
      </c>
      <c r="S202" s="18" t="s">
        <v>235</v>
      </c>
      <c r="T202" s="17" t="s">
        <v>234</v>
      </c>
      <c r="U202" s="17" t="s">
        <v>234</v>
      </c>
      <c r="V202" s="17" t="s">
        <v>234</v>
      </c>
    </row>
    <row r="203" customFormat="false" ht="54" hidden="false" customHeight="true" outlineLevel="0" collapsed="false">
      <c r="A203" s="10" t="n">
        <v>29</v>
      </c>
      <c r="B203" s="15" t="s">
        <v>252</v>
      </c>
      <c r="C203" s="30" t="s">
        <v>253</v>
      </c>
      <c r="D203" s="5" t="n">
        <v>2.5</v>
      </c>
      <c r="E203" s="27" t="s">
        <v>42</v>
      </c>
      <c r="F203" s="15" t="s">
        <v>190</v>
      </c>
      <c r="G203" s="15" t="s">
        <v>254</v>
      </c>
      <c r="H203" s="15" t="s">
        <v>255</v>
      </c>
      <c r="I203" s="15" t="s">
        <v>513</v>
      </c>
      <c r="J203" s="15" t="s">
        <v>257</v>
      </c>
      <c r="K203" s="15" t="s">
        <v>514</v>
      </c>
      <c r="L203" s="15" t="s">
        <v>193</v>
      </c>
      <c r="M203" s="24" t="s">
        <v>194</v>
      </c>
      <c r="N203" s="15" t="s">
        <v>508</v>
      </c>
      <c r="O203" s="24" t="s">
        <v>195</v>
      </c>
      <c r="P203" s="15" t="s">
        <v>231</v>
      </c>
      <c r="Q203" s="10" t="s">
        <v>307</v>
      </c>
      <c r="R203" s="29" t="s">
        <v>233</v>
      </c>
      <c r="S203" s="18" t="s">
        <v>235</v>
      </c>
      <c r="T203" s="17" t="s">
        <v>234</v>
      </c>
      <c r="U203" s="17" t="s">
        <v>234</v>
      </c>
      <c r="V203" s="17" t="s">
        <v>234</v>
      </c>
    </row>
    <row r="204" customFormat="false" ht="31.5" hidden="false" customHeight="true" outlineLevel="0" collapsed="false">
      <c r="A204" s="10" t="n">
        <v>29</v>
      </c>
      <c r="B204" s="15" t="s">
        <v>260</v>
      </c>
      <c r="C204" s="28" t="s">
        <v>261</v>
      </c>
      <c r="D204" s="10" t="n">
        <v>0</v>
      </c>
      <c r="E204" s="27" t="s">
        <v>42</v>
      </c>
      <c r="F204" s="15" t="s">
        <v>190</v>
      </c>
      <c r="G204" s="15" t="s">
        <v>262</v>
      </c>
      <c r="H204" s="15" t="s">
        <v>263</v>
      </c>
      <c r="I204" s="15" t="s">
        <v>264</v>
      </c>
      <c r="J204" s="15" t="s">
        <v>265</v>
      </c>
      <c r="K204" s="15" t="s">
        <v>266</v>
      </c>
      <c r="L204" s="15"/>
      <c r="M204" s="15"/>
      <c r="N204" s="15"/>
      <c r="O204" s="15"/>
      <c r="P204" s="15"/>
      <c r="Q204" s="31" t="s">
        <v>261</v>
      </c>
      <c r="R204" s="31" t="s">
        <v>235</v>
      </c>
      <c r="S204" s="18" t="s">
        <v>235</v>
      </c>
      <c r="T204" s="18" t="s">
        <v>235</v>
      </c>
      <c r="U204" s="18" t="s">
        <v>235</v>
      </c>
      <c r="V204" s="18" t="s">
        <v>235</v>
      </c>
    </row>
    <row r="205" customFormat="false" ht="57.75" hidden="false" customHeight="true" outlineLevel="0" collapsed="false">
      <c r="A205" s="10" t="n">
        <v>30</v>
      </c>
      <c r="B205" s="15" t="s">
        <v>224</v>
      </c>
      <c r="C205" s="12" t="s">
        <v>225</v>
      </c>
      <c r="D205" s="5" t="n">
        <v>2.5</v>
      </c>
      <c r="E205" s="27" t="s">
        <v>42</v>
      </c>
      <c r="F205" s="15" t="s">
        <v>196</v>
      </c>
      <c r="G205" s="15" t="s">
        <v>226</v>
      </c>
      <c r="H205" s="15" t="s">
        <v>227</v>
      </c>
      <c r="I205" s="15" t="s">
        <v>515</v>
      </c>
      <c r="J205" s="15" t="s">
        <v>198</v>
      </c>
      <c r="K205" s="15" t="s">
        <v>516</v>
      </c>
      <c r="L205" s="15" t="s">
        <v>199</v>
      </c>
      <c r="M205" s="24" t="s">
        <v>157</v>
      </c>
      <c r="N205" s="15" t="s">
        <v>188</v>
      </c>
      <c r="O205" s="24" t="s">
        <v>153</v>
      </c>
      <c r="P205" s="15" t="s">
        <v>231</v>
      </c>
      <c r="Q205" s="10" t="s">
        <v>221</v>
      </c>
      <c r="R205" s="29" t="s">
        <v>233</v>
      </c>
      <c r="S205" s="18" t="s">
        <v>235</v>
      </c>
      <c r="T205" s="17" t="s">
        <v>234</v>
      </c>
      <c r="U205" s="18" t="s">
        <v>235</v>
      </c>
      <c r="V205" s="18" t="s">
        <v>235</v>
      </c>
    </row>
    <row r="206" customFormat="false" ht="57.75" hidden="false" customHeight="true" outlineLevel="0" collapsed="false">
      <c r="A206" s="10" t="n">
        <v>30</v>
      </c>
      <c r="B206" s="15" t="s">
        <v>236</v>
      </c>
      <c r="C206" s="12" t="s">
        <v>225</v>
      </c>
      <c r="D206" s="5" t="n">
        <v>2.5</v>
      </c>
      <c r="E206" s="27" t="s">
        <v>42</v>
      </c>
      <c r="F206" s="15" t="s">
        <v>196</v>
      </c>
      <c r="G206" s="15" t="s">
        <v>237</v>
      </c>
      <c r="H206" s="15" t="s">
        <v>227</v>
      </c>
      <c r="I206" s="15" t="s">
        <v>517</v>
      </c>
      <c r="J206" s="15" t="s">
        <v>198</v>
      </c>
      <c r="K206" s="15" t="s">
        <v>516</v>
      </c>
      <c r="L206" s="15" t="s">
        <v>199</v>
      </c>
      <c r="M206" s="24" t="s">
        <v>157</v>
      </c>
      <c r="N206" s="15" t="s">
        <v>188</v>
      </c>
      <c r="O206" s="24" t="s">
        <v>153</v>
      </c>
      <c r="P206" s="15" t="s">
        <v>231</v>
      </c>
      <c r="Q206" s="10" t="s">
        <v>300</v>
      </c>
      <c r="R206" s="29" t="s">
        <v>233</v>
      </c>
      <c r="S206" s="18" t="s">
        <v>235</v>
      </c>
      <c r="T206" s="17" t="s">
        <v>234</v>
      </c>
      <c r="U206" s="17" t="s">
        <v>234</v>
      </c>
      <c r="V206" s="18" t="s">
        <v>235</v>
      </c>
    </row>
    <row r="207" customFormat="false" ht="57.75" hidden="false" customHeight="true" outlineLevel="0" collapsed="false">
      <c r="A207" s="10" t="n">
        <v>30</v>
      </c>
      <c r="B207" s="15" t="s">
        <v>240</v>
      </c>
      <c r="C207" s="12" t="s">
        <v>225</v>
      </c>
      <c r="D207" s="5" t="n">
        <v>2.5</v>
      </c>
      <c r="E207" s="27" t="s">
        <v>42</v>
      </c>
      <c r="F207" s="15" t="s">
        <v>196</v>
      </c>
      <c r="G207" s="15" t="s">
        <v>241</v>
      </c>
      <c r="H207" s="15" t="s">
        <v>227</v>
      </c>
      <c r="I207" s="15" t="s">
        <v>518</v>
      </c>
      <c r="J207" s="15" t="s">
        <v>198</v>
      </c>
      <c r="K207" s="15" t="s">
        <v>516</v>
      </c>
      <c r="L207" s="15" t="s">
        <v>199</v>
      </c>
      <c r="M207" s="24" t="s">
        <v>157</v>
      </c>
      <c r="N207" s="15" t="s">
        <v>188</v>
      </c>
      <c r="O207" s="24" t="s">
        <v>153</v>
      </c>
      <c r="P207" s="15" t="s">
        <v>231</v>
      </c>
      <c r="Q207" s="10" t="s">
        <v>333</v>
      </c>
      <c r="R207" s="29" t="s">
        <v>233</v>
      </c>
      <c r="S207" s="18" t="s">
        <v>235</v>
      </c>
      <c r="T207" s="17" t="s">
        <v>234</v>
      </c>
      <c r="U207" s="18" t="s">
        <v>235</v>
      </c>
      <c r="V207" s="17" t="s">
        <v>234</v>
      </c>
    </row>
    <row r="208" customFormat="false" ht="57.75" hidden="false" customHeight="true" outlineLevel="0" collapsed="false">
      <c r="A208" s="10" t="n">
        <v>30</v>
      </c>
      <c r="B208" s="15" t="s">
        <v>244</v>
      </c>
      <c r="C208" s="12" t="s">
        <v>225</v>
      </c>
      <c r="D208" s="5" t="n">
        <v>2.5</v>
      </c>
      <c r="E208" s="27" t="s">
        <v>42</v>
      </c>
      <c r="F208" s="15" t="s">
        <v>196</v>
      </c>
      <c r="G208" s="15" t="s">
        <v>245</v>
      </c>
      <c r="H208" s="15" t="s">
        <v>227</v>
      </c>
      <c r="I208" s="15" t="s">
        <v>519</v>
      </c>
      <c r="J208" s="15" t="s">
        <v>198</v>
      </c>
      <c r="K208" s="15" t="s">
        <v>516</v>
      </c>
      <c r="L208" s="15" t="s">
        <v>199</v>
      </c>
      <c r="M208" s="24" t="s">
        <v>157</v>
      </c>
      <c r="N208" s="15" t="s">
        <v>188</v>
      </c>
      <c r="O208" s="24" t="s">
        <v>153</v>
      </c>
      <c r="P208" s="15" t="s">
        <v>231</v>
      </c>
      <c r="Q208" s="10" t="s">
        <v>300</v>
      </c>
      <c r="R208" s="32" t="s">
        <v>274</v>
      </c>
      <c r="S208" s="18" t="s">
        <v>235</v>
      </c>
      <c r="T208" s="17" t="s">
        <v>234</v>
      </c>
      <c r="U208" s="17" t="s">
        <v>234</v>
      </c>
      <c r="V208" s="18" t="s">
        <v>235</v>
      </c>
    </row>
    <row r="209" customFormat="false" ht="57.75" hidden="false" customHeight="true" outlineLevel="0" collapsed="false">
      <c r="A209" s="10" t="n">
        <v>30</v>
      </c>
      <c r="B209" s="15" t="s">
        <v>248</v>
      </c>
      <c r="C209" s="12" t="s">
        <v>225</v>
      </c>
      <c r="D209" s="5" t="n">
        <v>2.5</v>
      </c>
      <c r="E209" s="27" t="s">
        <v>42</v>
      </c>
      <c r="F209" s="15" t="s">
        <v>196</v>
      </c>
      <c r="G209" s="15" t="s">
        <v>249</v>
      </c>
      <c r="H209" s="15" t="s">
        <v>227</v>
      </c>
      <c r="I209" s="15" t="s">
        <v>520</v>
      </c>
      <c r="J209" s="15" t="s">
        <v>197</v>
      </c>
      <c r="K209" s="15" t="s">
        <v>251</v>
      </c>
      <c r="L209" s="15" t="s">
        <v>199</v>
      </c>
      <c r="M209" s="24" t="s">
        <v>157</v>
      </c>
      <c r="N209" s="15" t="s">
        <v>188</v>
      </c>
      <c r="O209" s="24" t="s">
        <v>153</v>
      </c>
      <c r="P209" s="15" t="s">
        <v>231</v>
      </c>
      <c r="Q209" s="10" t="s">
        <v>313</v>
      </c>
      <c r="R209" s="32" t="s">
        <v>274</v>
      </c>
      <c r="S209" s="18" t="s">
        <v>235</v>
      </c>
      <c r="T209" s="17" t="s">
        <v>234</v>
      </c>
      <c r="U209" s="17" t="s">
        <v>234</v>
      </c>
      <c r="V209" s="17" t="s">
        <v>234</v>
      </c>
    </row>
    <row r="210" customFormat="false" ht="54" hidden="false" customHeight="true" outlineLevel="0" collapsed="false">
      <c r="A210" s="10" t="n">
        <v>30</v>
      </c>
      <c r="B210" s="15" t="s">
        <v>252</v>
      </c>
      <c r="C210" s="30" t="s">
        <v>253</v>
      </c>
      <c r="D210" s="5" t="n">
        <v>2.5</v>
      </c>
      <c r="E210" s="27" t="s">
        <v>42</v>
      </c>
      <c r="F210" s="15" t="s">
        <v>196</v>
      </c>
      <c r="G210" s="15" t="s">
        <v>254</v>
      </c>
      <c r="H210" s="15" t="s">
        <v>255</v>
      </c>
      <c r="I210" s="15" t="s">
        <v>521</v>
      </c>
      <c r="J210" s="15" t="s">
        <v>257</v>
      </c>
      <c r="K210" s="15" t="s">
        <v>522</v>
      </c>
      <c r="L210" s="15" t="s">
        <v>199</v>
      </c>
      <c r="M210" s="24" t="s">
        <v>157</v>
      </c>
      <c r="N210" s="15" t="s">
        <v>188</v>
      </c>
      <c r="O210" s="24" t="s">
        <v>153</v>
      </c>
      <c r="P210" s="15" t="s">
        <v>231</v>
      </c>
      <c r="Q210" s="10" t="s">
        <v>307</v>
      </c>
      <c r="R210" s="32" t="s">
        <v>274</v>
      </c>
      <c r="S210" s="18" t="s">
        <v>235</v>
      </c>
      <c r="T210" s="17" t="s">
        <v>234</v>
      </c>
      <c r="U210" s="17" t="s">
        <v>234</v>
      </c>
      <c r="V210" s="17" t="s">
        <v>234</v>
      </c>
    </row>
    <row r="211" customFormat="false" ht="31.5" hidden="false" customHeight="true" outlineLevel="0" collapsed="false">
      <c r="A211" s="10" t="n">
        <v>30</v>
      </c>
      <c r="B211" s="15" t="s">
        <v>260</v>
      </c>
      <c r="C211" s="28" t="s">
        <v>261</v>
      </c>
      <c r="D211" s="10" t="n">
        <v>0</v>
      </c>
      <c r="E211" s="27" t="s">
        <v>42</v>
      </c>
      <c r="F211" s="15" t="s">
        <v>196</v>
      </c>
      <c r="G211" s="15" t="s">
        <v>262</v>
      </c>
      <c r="H211" s="15" t="s">
        <v>263</v>
      </c>
      <c r="I211" s="15" t="s">
        <v>264</v>
      </c>
      <c r="J211" s="15" t="s">
        <v>265</v>
      </c>
      <c r="K211" s="15" t="s">
        <v>266</v>
      </c>
      <c r="L211" s="15"/>
      <c r="M211" s="15"/>
      <c r="N211" s="15"/>
      <c r="O211" s="15"/>
      <c r="P211" s="15"/>
      <c r="Q211" s="31" t="s">
        <v>261</v>
      </c>
      <c r="R211" s="31" t="s">
        <v>235</v>
      </c>
      <c r="S211" s="18" t="s">
        <v>235</v>
      </c>
      <c r="T211" s="18" t="s">
        <v>235</v>
      </c>
      <c r="U211" s="18" t="s">
        <v>235</v>
      </c>
      <c r="V211" s="18" t="s">
        <v>235</v>
      </c>
    </row>
    <row r="212" customFormat="false" ht="57.75" hidden="false" customHeight="true" outlineLevel="0" collapsed="false">
      <c r="A212" s="10" t="n">
        <v>31</v>
      </c>
      <c r="B212" s="15" t="s">
        <v>224</v>
      </c>
      <c r="C212" s="12" t="s">
        <v>225</v>
      </c>
      <c r="D212" s="5" t="n">
        <v>2.5</v>
      </c>
      <c r="E212" s="27" t="s">
        <v>42</v>
      </c>
      <c r="F212" s="15" t="s">
        <v>200</v>
      </c>
      <c r="G212" s="15" t="s">
        <v>226</v>
      </c>
      <c r="H212" s="15" t="s">
        <v>227</v>
      </c>
      <c r="I212" s="15" t="s">
        <v>523</v>
      </c>
      <c r="J212" s="15" t="s">
        <v>202</v>
      </c>
      <c r="K212" s="15" t="s">
        <v>524</v>
      </c>
      <c r="L212" s="15" t="s">
        <v>203</v>
      </c>
      <c r="M212" s="24" t="s">
        <v>171</v>
      </c>
      <c r="N212" s="15" t="s">
        <v>384</v>
      </c>
      <c r="O212" s="15"/>
      <c r="P212" s="15" t="s">
        <v>231</v>
      </c>
      <c r="Q212" s="10" t="s">
        <v>525</v>
      </c>
      <c r="R212" s="32" t="s">
        <v>274</v>
      </c>
      <c r="S212" s="18" t="s">
        <v>235</v>
      </c>
      <c r="T212" s="18" t="s">
        <v>235</v>
      </c>
      <c r="U212" s="17" t="s">
        <v>234</v>
      </c>
      <c r="V212" s="17" t="s">
        <v>234</v>
      </c>
    </row>
    <row r="213" customFormat="false" ht="57.75" hidden="false" customHeight="true" outlineLevel="0" collapsed="false">
      <c r="A213" s="10" t="n">
        <v>31</v>
      </c>
      <c r="B213" s="15" t="s">
        <v>236</v>
      </c>
      <c r="C213" s="12" t="s">
        <v>225</v>
      </c>
      <c r="D213" s="5" t="n">
        <v>2.5</v>
      </c>
      <c r="E213" s="27" t="s">
        <v>42</v>
      </c>
      <c r="F213" s="15" t="s">
        <v>200</v>
      </c>
      <c r="G213" s="15" t="s">
        <v>237</v>
      </c>
      <c r="H213" s="15" t="s">
        <v>227</v>
      </c>
      <c r="I213" s="15" t="s">
        <v>526</v>
      </c>
      <c r="J213" s="15" t="s">
        <v>202</v>
      </c>
      <c r="K213" s="15" t="s">
        <v>524</v>
      </c>
      <c r="L213" s="15" t="s">
        <v>203</v>
      </c>
      <c r="M213" s="24" t="s">
        <v>171</v>
      </c>
      <c r="N213" s="15" t="s">
        <v>384</v>
      </c>
      <c r="O213" s="15"/>
      <c r="P213" s="15" t="s">
        <v>231</v>
      </c>
      <c r="Q213" s="10" t="s">
        <v>225</v>
      </c>
      <c r="R213" s="29" t="s">
        <v>233</v>
      </c>
      <c r="S213" s="18" t="s">
        <v>235</v>
      </c>
      <c r="T213" s="18" t="s">
        <v>235</v>
      </c>
      <c r="U213" s="18" t="s">
        <v>235</v>
      </c>
      <c r="V213" s="18" t="s">
        <v>235</v>
      </c>
    </row>
    <row r="214" customFormat="false" ht="57.75" hidden="false" customHeight="true" outlineLevel="0" collapsed="false">
      <c r="A214" s="10" t="n">
        <v>31</v>
      </c>
      <c r="B214" s="15" t="s">
        <v>240</v>
      </c>
      <c r="C214" s="12" t="s">
        <v>225</v>
      </c>
      <c r="D214" s="5" t="n">
        <v>2.5</v>
      </c>
      <c r="E214" s="27" t="s">
        <v>42</v>
      </c>
      <c r="F214" s="15" t="s">
        <v>200</v>
      </c>
      <c r="G214" s="15" t="s">
        <v>241</v>
      </c>
      <c r="H214" s="15" t="s">
        <v>227</v>
      </c>
      <c r="I214" s="15" t="s">
        <v>527</v>
      </c>
      <c r="J214" s="15" t="s">
        <v>202</v>
      </c>
      <c r="K214" s="15" t="s">
        <v>524</v>
      </c>
      <c r="L214" s="15" t="s">
        <v>203</v>
      </c>
      <c r="M214" s="24" t="s">
        <v>171</v>
      </c>
      <c r="N214" s="15" t="s">
        <v>384</v>
      </c>
      <c r="O214" s="15"/>
      <c r="P214" s="15" t="s">
        <v>231</v>
      </c>
      <c r="Q214" s="10" t="s">
        <v>525</v>
      </c>
      <c r="R214" s="29" t="s">
        <v>233</v>
      </c>
      <c r="S214" s="18" t="s">
        <v>235</v>
      </c>
      <c r="T214" s="18" t="s">
        <v>235</v>
      </c>
      <c r="U214" s="17" t="s">
        <v>234</v>
      </c>
      <c r="V214" s="17" t="s">
        <v>234</v>
      </c>
    </row>
    <row r="215" customFormat="false" ht="57.75" hidden="false" customHeight="true" outlineLevel="0" collapsed="false">
      <c r="A215" s="10" t="n">
        <v>31</v>
      </c>
      <c r="B215" s="15" t="s">
        <v>244</v>
      </c>
      <c r="C215" s="12" t="s">
        <v>225</v>
      </c>
      <c r="D215" s="5" t="n">
        <v>2.5</v>
      </c>
      <c r="E215" s="27" t="s">
        <v>42</v>
      </c>
      <c r="F215" s="15" t="s">
        <v>200</v>
      </c>
      <c r="G215" s="15" t="s">
        <v>245</v>
      </c>
      <c r="H215" s="15" t="s">
        <v>227</v>
      </c>
      <c r="I215" s="15" t="s">
        <v>528</v>
      </c>
      <c r="J215" s="15" t="s">
        <v>202</v>
      </c>
      <c r="K215" s="15" t="s">
        <v>524</v>
      </c>
      <c r="L215" s="15" t="s">
        <v>203</v>
      </c>
      <c r="M215" s="24" t="s">
        <v>171</v>
      </c>
      <c r="N215" s="15" t="s">
        <v>384</v>
      </c>
      <c r="O215" s="15"/>
      <c r="P215" s="15" t="s">
        <v>231</v>
      </c>
      <c r="Q215" s="10" t="s">
        <v>529</v>
      </c>
      <c r="R215" s="29" t="s">
        <v>233</v>
      </c>
      <c r="S215" s="18" t="s">
        <v>235</v>
      </c>
      <c r="T215" s="18" t="s">
        <v>235</v>
      </c>
      <c r="U215" s="18" t="s">
        <v>235</v>
      </c>
      <c r="V215" s="17" t="s">
        <v>234</v>
      </c>
    </row>
    <row r="216" customFormat="false" ht="57.75" hidden="false" customHeight="true" outlineLevel="0" collapsed="false">
      <c r="A216" s="10" t="n">
        <v>31</v>
      </c>
      <c r="B216" s="15" t="s">
        <v>248</v>
      </c>
      <c r="C216" s="12" t="s">
        <v>225</v>
      </c>
      <c r="D216" s="5" t="n">
        <v>2.5</v>
      </c>
      <c r="E216" s="27" t="s">
        <v>42</v>
      </c>
      <c r="F216" s="15" t="s">
        <v>200</v>
      </c>
      <c r="G216" s="15" t="s">
        <v>249</v>
      </c>
      <c r="H216" s="15" t="s">
        <v>227</v>
      </c>
      <c r="I216" s="15" t="s">
        <v>530</v>
      </c>
      <c r="J216" s="15" t="s">
        <v>201</v>
      </c>
      <c r="K216" s="15" t="s">
        <v>251</v>
      </c>
      <c r="L216" s="15" t="s">
        <v>203</v>
      </c>
      <c r="M216" s="24" t="s">
        <v>171</v>
      </c>
      <c r="N216" s="15" t="s">
        <v>384</v>
      </c>
      <c r="O216" s="15"/>
      <c r="P216" s="15" t="s">
        <v>231</v>
      </c>
      <c r="Q216" s="10" t="s">
        <v>525</v>
      </c>
      <c r="R216" s="29" t="s">
        <v>233</v>
      </c>
      <c r="S216" s="18" t="s">
        <v>235</v>
      </c>
      <c r="T216" s="18" t="s">
        <v>235</v>
      </c>
      <c r="U216" s="17" t="s">
        <v>234</v>
      </c>
      <c r="V216" s="17" t="s">
        <v>234</v>
      </c>
    </row>
    <row r="217" customFormat="false" ht="54" hidden="false" customHeight="true" outlineLevel="0" collapsed="false">
      <c r="A217" s="10" t="n">
        <v>31</v>
      </c>
      <c r="B217" s="15" t="s">
        <v>252</v>
      </c>
      <c r="C217" s="30" t="s">
        <v>253</v>
      </c>
      <c r="D217" s="5" t="n">
        <v>2.5</v>
      </c>
      <c r="E217" s="27" t="s">
        <v>42</v>
      </c>
      <c r="F217" s="15" t="s">
        <v>200</v>
      </c>
      <c r="G217" s="15" t="s">
        <v>254</v>
      </c>
      <c r="H217" s="15" t="s">
        <v>255</v>
      </c>
      <c r="I217" s="15" t="s">
        <v>531</v>
      </c>
      <c r="J217" s="15" t="s">
        <v>257</v>
      </c>
      <c r="K217" s="15" t="s">
        <v>532</v>
      </c>
      <c r="L217" s="15" t="s">
        <v>203</v>
      </c>
      <c r="M217" s="24" t="s">
        <v>171</v>
      </c>
      <c r="N217" s="15" t="s">
        <v>384</v>
      </c>
      <c r="O217" s="15"/>
      <c r="P217" s="15" t="s">
        <v>231</v>
      </c>
      <c r="Q217" s="10" t="s">
        <v>307</v>
      </c>
      <c r="R217" s="32" t="s">
        <v>274</v>
      </c>
      <c r="S217" s="18" t="s">
        <v>235</v>
      </c>
      <c r="T217" s="17" t="s">
        <v>234</v>
      </c>
      <c r="U217" s="17" t="s">
        <v>234</v>
      </c>
      <c r="V217" s="17" t="s">
        <v>234</v>
      </c>
    </row>
    <row r="218" customFormat="false" ht="31.5" hidden="false" customHeight="true" outlineLevel="0" collapsed="false">
      <c r="A218" s="10" t="n">
        <v>31</v>
      </c>
      <c r="B218" s="15" t="s">
        <v>260</v>
      </c>
      <c r="C218" s="28" t="s">
        <v>261</v>
      </c>
      <c r="D218" s="10" t="n">
        <v>0</v>
      </c>
      <c r="E218" s="27" t="s">
        <v>42</v>
      </c>
      <c r="F218" s="15" t="s">
        <v>200</v>
      </c>
      <c r="G218" s="15" t="s">
        <v>262</v>
      </c>
      <c r="H218" s="15" t="s">
        <v>263</v>
      </c>
      <c r="I218" s="15" t="s">
        <v>264</v>
      </c>
      <c r="J218" s="15" t="s">
        <v>265</v>
      </c>
      <c r="K218" s="15" t="s">
        <v>266</v>
      </c>
      <c r="L218" s="15"/>
      <c r="M218" s="15"/>
      <c r="N218" s="15"/>
      <c r="O218" s="15"/>
      <c r="P218" s="15"/>
      <c r="Q218" s="31" t="s">
        <v>261</v>
      </c>
      <c r="R218" s="31" t="s">
        <v>235</v>
      </c>
      <c r="S218" s="18" t="s">
        <v>235</v>
      </c>
      <c r="T218" s="18" t="s">
        <v>235</v>
      </c>
      <c r="U218" s="18" t="s">
        <v>235</v>
      </c>
      <c r="V218" s="18" t="s">
        <v>235</v>
      </c>
    </row>
    <row r="219" customFormat="false" ht="57.75" hidden="false" customHeight="true" outlineLevel="0" collapsed="false">
      <c r="A219" s="10" t="n">
        <v>32</v>
      </c>
      <c r="B219" s="15" t="s">
        <v>224</v>
      </c>
      <c r="C219" s="12" t="s">
        <v>225</v>
      </c>
      <c r="D219" s="5" t="n">
        <v>2.5</v>
      </c>
      <c r="E219" s="28" t="s">
        <v>46</v>
      </c>
      <c r="F219" s="15" t="s">
        <v>204</v>
      </c>
      <c r="G219" s="15" t="s">
        <v>226</v>
      </c>
      <c r="H219" s="15" t="s">
        <v>227</v>
      </c>
      <c r="I219" s="15" t="s">
        <v>533</v>
      </c>
      <c r="J219" s="15" t="s">
        <v>206</v>
      </c>
      <c r="K219" s="15" t="s">
        <v>534</v>
      </c>
      <c r="L219" s="15" t="s">
        <v>207</v>
      </c>
      <c r="M219" s="15"/>
      <c r="N219" s="15" t="s">
        <v>535</v>
      </c>
      <c r="O219" s="15"/>
      <c r="P219" s="15" t="s">
        <v>231</v>
      </c>
      <c r="Q219" s="10" t="s">
        <v>525</v>
      </c>
      <c r="R219" s="29" t="s">
        <v>233</v>
      </c>
      <c r="S219" s="18" t="s">
        <v>235</v>
      </c>
      <c r="T219" s="18" t="s">
        <v>235</v>
      </c>
      <c r="U219" s="17" t="s">
        <v>234</v>
      </c>
      <c r="V219" s="17" t="s">
        <v>234</v>
      </c>
    </row>
    <row r="220" customFormat="false" ht="57.75" hidden="false" customHeight="true" outlineLevel="0" collapsed="false">
      <c r="A220" s="10" t="n">
        <v>32</v>
      </c>
      <c r="B220" s="15" t="s">
        <v>236</v>
      </c>
      <c r="C220" s="12" t="s">
        <v>225</v>
      </c>
      <c r="D220" s="5" t="n">
        <v>2.5</v>
      </c>
      <c r="E220" s="28" t="s">
        <v>46</v>
      </c>
      <c r="F220" s="15" t="s">
        <v>204</v>
      </c>
      <c r="G220" s="15" t="s">
        <v>237</v>
      </c>
      <c r="H220" s="15" t="s">
        <v>227</v>
      </c>
      <c r="I220" s="15" t="s">
        <v>536</v>
      </c>
      <c r="J220" s="15" t="s">
        <v>206</v>
      </c>
      <c r="K220" s="15" t="s">
        <v>534</v>
      </c>
      <c r="L220" s="15" t="s">
        <v>207</v>
      </c>
      <c r="M220" s="15"/>
      <c r="N220" s="15" t="s">
        <v>535</v>
      </c>
      <c r="O220" s="15"/>
      <c r="P220" s="15" t="s">
        <v>231</v>
      </c>
      <c r="Q220" s="10" t="s">
        <v>300</v>
      </c>
      <c r="R220" s="29" t="s">
        <v>233</v>
      </c>
      <c r="S220" s="18" t="s">
        <v>235</v>
      </c>
      <c r="T220" s="17" t="s">
        <v>234</v>
      </c>
      <c r="U220" s="17" t="s">
        <v>234</v>
      </c>
      <c r="V220" s="18" t="s">
        <v>235</v>
      </c>
    </row>
    <row r="221" customFormat="false" ht="57.75" hidden="false" customHeight="true" outlineLevel="0" collapsed="false">
      <c r="A221" s="10" t="n">
        <v>32</v>
      </c>
      <c r="B221" s="15" t="s">
        <v>240</v>
      </c>
      <c r="C221" s="12" t="s">
        <v>225</v>
      </c>
      <c r="D221" s="5" t="n">
        <v>2.5</v>
      </c>
      <c r="E221" s="28" t="s">
        <v>46</v>
      </c>
      <c r="F221" s="15" t="s">
        <v>204</v>
      </c>
      <c r="G221" s="15" t="s">
        <v>241</v>
      </c>
      <c r="H221" s="15" t="s">
        <v>227</v>
      </c>
      <c r="I221" s="15" t="s">
        <v>537</v>
      </c>
      <c r="J221" s="15" t="s">
        <v>206</v>
      </c>
      <c r="K221" s="15" t="s">
        <v>534</v>
      </c>
      <c r="L221" s="15" t="s">
        <v>207</v>
      </c>
      <c r="M221" s="15"/>
      <c r="N221" s="15" t="s">
        <v>535</v>
      </c>
      <c r="O221" s="15"/>
      <c r="P221" s="15" t="s">
        <v>231</v>
      </c>
      <c r="Q221" s="10" t="s">
        <v>300</v>
      </c>
      <c r="R221" s="32" t="s">
        <v>274</v>
      </c>
      <c r="S221" s="18" t="s">
        <v>235</v>
      </c>
      <c r="T221" s="17" t="s">
        <v>234</v>
      </c>
      <c r="U221" s="17" t="s">
        <v>234</v>
      </c>
      <c r="V221" s="18" t="s">
        <v>235</v>
      </c>
    </row>
    <row r="222" customFormat="false" ht="57.75" hidden="false" customHeight="true" outlineLevel="0" collapsed="false">
      <c r="A222" s="10" t="n">
        <v>32</v>
      </c>
      <c r="B222" s="15" t="s">
        <v>244</v>
      </c>
      <c r="C222" s="12" t="s">
        <v>225</v>
      </c>
      <c r="D222" s="5" t="n">
        <v>2.5</v>
      </c>
      <c r="E222" s="28" t="s">
        <v>46</v>
      </c>
      <c r="F222" s="15" t="s">
        <v>204</v>
      </c>
      <c r="G222" s="15" t="s">
        <v>245</v>
      </c>
      <c r="H222" s="15" t="s">
        <v>227</v>
      </c>
      <c r="I222" s="15" t="s">
        <v>538</v>
      </c>
      <c r="J222" s="15" t="s">
        <v>206</v>
      </c>
      <c r="K222" s="15" t="s">
        <v>534</v>
      </c>
      <c r="L222" s="15" t="s">
        <v>207</v>
      </c>
      <c r="M222" s="15"/>
      <c r="N222" s="15" t="s">
        <v>535</v>
      </c>
      <c r="O222" s="15"/>
      <c r="P222" s="15" t="s">
        <v>231</v>
      </c>
      <c r="Q222" s="10" t="s">
        <v>300</v>
      </c>
      <c r="R222" s="29" t="s">
        <v>233</v>
      </c>
      <c r="S222" s="18" t="s">
        <v>235</v>
      </c>
      <c r="T222" s="17" t="s">
        <v>234</v>
      </c>
      <c r="U222" s="17" t="s">
        <v>234</v>
      </c>
      <c r="V222" s="18" t="s">
        <v>235</v>
      </c>
    </row>
    <row r="223" customFormat="false" ht="57.75" hidden="false" customHeight="true" outlineLevel="0" collapsed="false">
      <c r="A223" s="10" t="n">
        <v>32</v>
      </c>
      <c r="B223" s="15" t="s">
        <v>248</v>
      </c>
      <c r="C223" s="12" t="s">
        <v>225</v>
      </c>
      <c r="D223" s="5" t="n">
        <v>2.5</v>
      </c>
      <c r="E223" s="28" t="s">
        <v>46</v>
      </c>
      <c r="F223" s="15" t="s">
        <v>204</v>
      </c>
      <c r="G223" s="15" t="s">
        <v>249</v>
      </c>
      <c r="H223" s="15" t="s">
        <v>227</v>
      </c>
      <c r="I223" s="15" t="s">
        <v>539</v>
      </c>
      <c r="J223" s="15" t="s">
        <v>205</v>
      </c>
      <c r="K223" s="15" t="s">
        <v>251</v>
      </c>
      <c r="L223" s="15" t="s">
        <v>207</v>
      </c>
      <c r="M223" s="15"/>
      <c r="N223" s="15" t="s">
        <v>535</v>
      </c>
      <c r="O223" s="15"/>
      <c r="P223" s="15" t="s">
        <v>231</v>
      </c>
      <c r="Q223" s="10" t="s">
        <v>525</v>
      </c>
      <c r="R223" s="29" t="s">
        <v>233</v>
      </c>
      <c r="S223" s="18" t="s">
        <v>235</v>
      </c>
      <c r="T223" s="18" t="s">
        <v>235</v>
      </c>
      <c r="U223" s="17" t="s">
        <v>234</v>
      </c>
      <c r="V223" s="17" t="s">
        <v>234</v>
      </c>
    </row>
    <row r="224" customFormat="false" ht="54" hidden="false" customHeight="true" outlineLevel="0" collapsed="false">
      <c r="A224" s="10" t="n">
        <v>32</v>
      </c>
      <c r="B224" s="15" t="s">
        <v>252</v>
      </c>
      <c r="C224" s="30" t="s">
        <v>253</v>
      </c>
      <c r="D224" s="5" t="n">
        <v>2.5</v>
      </c>
      <c r="E224" s="28" t="s">
        <v>46</v>
      </c>
      <c r="F224" s="15" t="s">
        <v>204</v>
      </c>
      <c r="G224" s="15" t="s">
        <v>254</v>
      </c>
      <c r="H224" s="15" t="s">
        <v>255</v>
      </c>
      <c r="I224" s="15" t="s">
        <v>540</v>
      </c>
      <c r="J224" s="15" t="s">
        <v>257</v>
      </c>
      <c r="K224" s="15" t="s">
        <v>541</v>
      </c>
      <c r="L224" s="15" t="s">
        <v>207</v>
      </c>
      <c r="M224" s="15"/>
      <c r="N224" s="15" t="s">
        <v>535</v>
      </c>
      <c r="O224" s="15"/>
      <c r="P224" s="15" t="s">
        <v>231</v>
      </c>
      <c r="Q224" s="10" t="s">
        <v>307</v>
      </c>
      <c r="R224" s="29" t="s">
        <v>233</v>
      </c>
      <c r="S224" s="18" t="s">
        <v>235</v>
      </c>
      <c r="T224" s="17" t="s">
        <v>234</v>
      </c>
      <c r="U224" s="17" t="s">
        <v>234</v>
      </c>
      <c r="V224" s="17" t="s">
        <v>234</v>
      </c>
    </row>
    <row r="225" customFormat="false" ht="31.5" hidden="false" customHeight="true" outlineLevel="0" collapsed="false">
      <c r="A225" s="10" t="n">
        <v>32</v>
      </c>
      <c r="B225" s="15" t="s">
        <v>260</v>
      </c>
      <c r="C225" s="28" t="s">
        <v>261</v>
      </c>
      <c r="D225" s="10" t="n">
        <v>0</v>
      </c>
      <c r="E225" s="28" t="s">
        <v>46</v>
      </c>
      <c r="F225" s="15" t="s">
        <v>204</v>
      </c>
      <c r="G225" s="15" t="s">
        <v>262</v>
      </c>
      <c r="H225" s="15" t="s">
        <v>263</v>
      </c>
      <c r="I225" s="15" t="s">
        <v>264</v>
      </c>
      <c r="J225" s="15" t="s">
        <v>265</v>
      </c>
      <c r="K225" s="15" t="s">
        <v>266</v>
      </c>
      <c r="L225" s="15"/>
      <c r="M225" s="15"/>
      <c r="N225" s="15"/>
      <c r="O225" s="15"/>
      <c r="P225" s="15"/>
      <c r="Q225" s="31" t="s">
        <v>261</v>
      </c>
      <c r="R225" s="31" t="s">
        <v>235</v>
      </c>
      <c r="S225" s="18" t="s">
        <v>235</v>
      </c>
      <c r="T225" s="18" t="s">
        <v>235</v>
      </c>
      <c r="U225" s="18" t="s">
        <v>235</v>
      </c>
      <c r="V225" s="18" t="s">
        <v>235</v>
      </c>
    </row>
  </sheetData>
  <autoFilter ref="A1:V225"/>
  <dataValidations count="1">
    <dataValidation allowBlank="true" errorStyle="stop" operator="between" showDropDown="false" showErrorMessage="false" showInputMessage="false" sqref="P2:P7 P9:P14 P16:P21 P23:P28 P30:P35 P37:P42 P44:P49 P51:P56 P58:P63 P65:P70 P72:P77 P79:P84 P86:P91 P93:P98 P100:P105 P107:P112 P114:P119 P121:P126 P128:P133 P135:P140 P142:P147 P149:P154 P156:P161 P163:P168 P170:P175 P177:P182 P184:P189 P191:P196 P198:P203 P205:P210 P212:P217 P219:P224" type="list">
      <formula1>"Not started,In progress,Done,Blocked"</formula1>
      <formula2>0</formula2>
    </dataValidation>
  </dataValidations>
  <hyperlinks>
    <hyperlink ref="M2" r:id="rId1" display="https://www.professormesser.com/free-a-plus-training/220-1201/220-1201-video/220-1201-training-course/"/>
    <hyperlink ref="O2" r:id="rId2" display="https://ubuntu.com/download/desktop"/>
    <hyperlink ref="M3" r:id="rId3" display="https://www.professormesser.com/free-a-plus-training/220-1201/220-1201-video/220-1201-training-course/"/>
    <hyperlink ref="O3" r:id="rId4" display="https://ubuntu.com/download/desktop"/>
    <hyperlink ref="M4" r:id="rId5" display="https://www.professormesser.com/free-a-plus-training/220-1201/220-1201-video/220-1201-training-course/"/>
    <hyperlink ref="O4" r:id="rId6" display="https://ubuntu.com/download/desktop"/>
    <hyperlink ref="M5" r:id="rId7" display="https://www.professormesser.com/free-a-plus-training/220-1201/220-1201-video/220-1201-training-course/"/>
    <hyperlink ref="O5" r:id="rId8" display="https://ubuntu.com/download/desktop"/>
    <hyperlink ref="M6" r:id="rId9" display="https://www.professormesser.com/free-a-plus-training/220-1201/220-1201-video/220-1201-training-course/"/>
    <hyperlink ref="O6" r:id="rId10" display="https://ubuntu.com/download/desktop"/>
    <hyperlink ref="M7" r:id="rId11" display="https://www.professormesser.com/free-a-plus-training/220-1201/220-1201-video/220-1201-training-course/"/>
    <hyperlink ref="O7" r:id="rId12" display="https://ubuntu.com/download/desktop"/>
    <hyperlink ref="M9" r:id="rId13" display="https://www.professormesser.com/free-a-plus-training/220-1201/220-1201-video/220-1201-training-course/"/>
    <hyperlink ref="O9" r:id="rId14" display="https://www.virtualbox.org/wiki/Downloads"/>
    <hyperlink ref="M10" r:id="rId15" display="https://www.professormesser.com/free-a-plus-training/220-1201/220-1201-video/220-1201-training-course/"/>
    <hyperlink ref="O10" r:id="rId16" display="https://www.virtualbox.org/wiki/Downloads"/>
    <hyperlink ref="M11" r:id="rId17" display="https://www.professormesser.com/free-a-plus-training/220-1201/220-1201-video/220-1201-training-course/"/>
    <hyperlink ref="O11" r:id="rId18" display="https://www.virtualbox.org/wiki/Downloads"/>
    <hyperlink ref="M12" r:id="rId19" display="https://www.professormesser.com/free-a-plus-training/220-1201/220-1201-video/220-1201-training-course/"/>
    <hyperlink ref="O12" r:id="rId20" display="https://www.virtualbox.org/wiki/Downloads"/>
    <hyperlink ref="M13" r:id="rId21" display="https://www.professormesser.com/free-a-plus-training/220-1201/220-1201-video/220-1201-training-course/"/>
    <hyperlink ref="O13" r:id="rId22" display="https://www.virtualbox.org/wiki/Downloads"/>
    <hyperlink ref="M14" r:id="rId23" display="https://www.professormesser.com/free-a-plus-training/220-1201/220-1201-video/220-1201-training-course/"/>
    <hyperlink ref="O14" r:id="rId24" display="https://www.virtualbox.org/wiki/Downloads"/>
    <hyperlink ref="M16" r:id="rId25" display="https://www.professormesser.com/free-a-plus-training/220-1202/220-1202-video/220-1202-training-course/"/>
    <hyperlink ref="O16" r:id="rId26" display="https://www.netdevgroup.com/online/courses/open-source/linux-unhatched"/>
    <hyperlink ref="M17" r:id="rId27" display="https://www.professormesser.com/free-a-plus-training/220-1202/220-1202-video/220-1202-training-course/"/>
    <hyperlink ref="O17" r:id="rId28" display="https://www.netdevgroup.com/online/courses/open-source/linux-unhatched"/>
    <hyperlink ref="M18" r:id="rId29" display="https://www.professormesser.com/free-a-plus-training/220-1202/220-1202-video/220-1202-training-course/"/>
    <hyperlink ref="O18" r:id="rId30" display="https://www.netdevgroup.com/online/courses/open-source/linux-unhatched"/>
    <hyperlink ref="M19" r:id="rId31" display="https://www.professormesser.com/free-a-plus-training/220-1202/220-1202-video/220-1202-training-course/"/>
    <hyperlink ref="O19" r:id="rId32" display="https://www.netdevgroup.com/online/courses/open-source/linux-unhatched"/>
    <hyperlink ref="M20" r:id="rId33" display="https://www.professormesser.com/free-a-plus-training/220-1202/220-1202-video/220-1202-training-course/"/>
    <hyperlink ref="O20" r:id="rId34" display="https://www.netdevgroup.com/online/courses/open-source/linux-unhatched"/>
    <hyperlink ref="M21" r:id="rId35" display="https://www.professormesser.com/free-a-plus-training/220-1202/220-1202-video/220-1202-training-course/"/>
    <hyperlink ref="O21" r:id="rId36" display="https://www.netdevgroup.com/online/courses/open-source/linux-unhatched"/>
    <hyperlink ref="M23" r:id="rId37" display="https://www.professormesser.com/free-a-plus-training/220-1202/220-1202-video/220-1202-training-course/"/>
    <hyperlink ref="O23" r:id="rId38" display="https://www.professormesser.com/security-plus/sy0-701/sy0-701-video/sy0-701-comptia-security-plus-course/"/>
    <hyperlink ref="M24" r:id="rId39" display="https://www.professormesser.com/free-a-plus-training/220-1202/220-1202-video/220-1202-training-course/"/>
    <hyperlink ref="O24" r:id="rId40" display="https://www.professormesser.com/security-plus/sy0-701/sy0-701-video/sy0-701-comptia-security-plus-course/"/>
    <hyperlink ref="M25" r:id="rId41" display="https://www.professormesser.com/free-a-plus-training/220-1202/220-1202-video/220-1202-training-course/"/>
    <hyperlink ref="O25" r:id="rId42" display="https://www.professormesser.com/security-plus/sy0-701/sy0-701-video/sy0-701-comptia-security-plus-course/"/>
    <hyperlink ref="M26" r:id="rId43" display="https://www.professormesser.com/free-a-plus-training/220-1202/220-1202-video/220-1202-training-course/"/>
    <hyperlink ref="O26" r:id="rId44" display="https://www.professormesser.com/security-plus/sy0-701/sy0-701-video/sy0-701-comptia-security-plus-course/"/>
    <hyperlink ref="M27" r:id="rId45" display="https://www.professormesser.com/free-a-plus-training/220-1202/220-1202-video/220-1202-training-course/"/>
    <hyperlink ref="O27" r:id="rId46" display="https://www.professormesser.com/security-plus/sy0-701/sy0-701-video/sy0-701-comptia-security-plus-course/"/>
    <hyperlink ref="M28" r:id="rId47" display="https://www.professormesser.com/free-a-plus-training/220-1202/220-1202-video/220-1202-training-course/"/>
    <hyperlink ref="O28" r:id="rId48" display="https://www.professormesser.com/security-plus/sy0-701/sy0-701-video/sy0-701-comptia-security-plus-course/"/>
    <hyperlink ref="M30" r:id="rId49" display="https://www.netdevgroup.com/online/courses/open-source/linux-unhatched"/>
    <hyperlink ref="O30" r:id="rId50" display="https://www.virtualbox.org/wiki/Downloads"/>
    <hyperlink ref="M31" r:id="rId51" display="https://www.netdevgroup.com/online/courses/open-source/linux-unhatched"/>
    <hyperlink ref="O31" r:id="rId52" display="https://www.virtualbox.org/wiki/Downloads"/>
    <hyperlink ref="M32" r:id="rId53" display="https://www.netdevgroup.com/online/courses/open-source/linux-unhatched"/>
    <hyperlink ref="O32" r:id="rId54" display="https://www.virtualbox.org/wiki/Downloads"/>
    <hyperlink ref="M33" r:id="rId55" display="https://www.netdevgroup.com/online/courses/open-source/linux-unhatched"/>
    <hyperlink ref="O33" r:id="rId56" display="https://www.virtualbox.org/wiki/Downloads"/>
    <hyperlink ref="M34" r:id="rId57" display="https://www.netdevgroup.com/online/courses/open-source/linux-unhatched"/>
    <hyperlink ref="O34" r:id="rId58" display="https://www.virtualbox.org/wiki/Downloads"/>
    <hyperlink ref="M35" r:id="rId59" display="https://www.netdevgroup.com/online/courses/open-source/linux-unhatched"/>
    <hyperlink ref="O35" r:id="rId60" display="https://www.virtualbox.org/wiki/Downloads"/>
    <hyperlink ref="M37" r:id="rId61" display="https://www.cisco.com/site/us/en/learn/training-certifications/training/courses/ccst-networking.html"/>
    <hyperlink ref="O37" r:id="rId62" display="https://www.professormesser.com/network-plus/n10-009/n10-009-video/n10-009-training-course/"/>
    <hyperlink ref="M38" r:id="rId63" display="https://www.cisco.com/site/us/en/learn/training-certifications/training/courses/ccst-networking.html"/>
    <hyperlink ref="O38" r:id="rId64" display="https://www.professormesser.com/network-plus/n10-009/n10-009-video/n10-009-training-course/"/>
    <hyperlink ref="M39" r:id="rId65" display="https://www.cisco.com/site/us/en/learn/training-certifications/training/courses/ccst-networking.html"/>
    <hyperlink ref="O39" r:id="rId66" display="https://www.professormesser.com/network-plus/n10-009/n10-009-video/n10-009-training-course/"/>
    <hyperlink ref="M40" r:id="rId67" display="https://www.cisco.com/site/us/en/learn/training-certifications/training/courses/ccst-networking.html"/>
    <hyperlink ref="O40" r:id="rId68" display="https://www.professormesser.com/network-plus/n10-009/n10-009-video/n10-009-training-course/"/>
    <hyperlink ref="M41" r:id="rId69" display="https://www.cisco.com/site/us/en/learn/training-certifications/training/courses/ccst-networking.html"/>
    <hyperlink ref="O41" r:id="rId70" display="https://www.professormesser.com/network-plus/n10-009/n10-009-video/n10-009-training-course/"/>
    <hyperlink ref="M42" r:id="rId71" display="https://www.cisco.com/site/us/en/learn/training-certifications/training/courses/ccst-networking.html"/>
    <hyperlink ref="O42" r:id="rId72" display="https://www.professormesser.com/network-plus/n10-009/n10-009-video/n10-009-training-course/"/>
    <hyperlink ref="M44" r:id="rId73" display="https://www.cisco.com/site/us/en/learn/training-certifications/training/courses/ccst-networking.html"/>
    <hyperlink ref="O44" r:id="rId74" display="https://contenthub.netacad.com/courses/srwe/_common/1.1.7-lab---basic-switch-configuration.pdf"/>
    <hyperlink ref="M45" r:id="rId75" display="https://www.cisco.com/site/us/en/learn/training-certifications/training/courses/ccst-networking.html"/>
    <hyperlink ref="O45" r:id="rId76" display="https://contenthub.netacad.com/courses/srwe/_common/1.1.7-lab---basic-switch-configuration.pdf"/>
    <hyperlink ref="M46" r:id="rId77" display="https://www.cisco.com/site/us/en/learn/training-certifications/training/courses/ccst-networking.html"/>
    <hyperlink ref="O46" r:id="rId78" display="https://contenthub.netacad.com/courses/srwe/_common/1.1.7-lab---basic-switch-configuration.pdf"/>
    <hyperlink ref="M47" r:id="rId79" display="https://www.cisco.com/site/us/en/learn/training-certifications/training/courses/ccst-networking.html"/>
    <hyperlink ref="O47" r:id="rId80" display="https://contenthub.netacad.com/courses/srwe/_common/1.1.7-lab---basic-switch-configuration.pdf"/>
    <hyperlink ref="M48" r:id="rId81" display="https://www.cisco.com/site/us/en/learn/training-certifications/training/courses/ccst-networking.html"/>
    <hyperlink ref="O48" r:id="rId82" display="https://contenthub.netacad.com/courses/srwe/_common/1.1.7-lab---basic-switch-configuration.pdf"/>
    <hyperlink ref="M49" r:id="rId83" display="https://www.cisco.com/site/us/en/learn/training-certifications/training/courses/ccst-networking.html"/>
    <hyperlink ref="O49" r:id="rId84" display="https://contenthub.netacad.com/courses/srwe/_common/1.1.7-lab---basic-switch-configuration.pdf"/>
    <hyperlink ref="M51" r:id="rId85" display="https://www.cisco.com/site/us/en/learn/training-certifications/training/courses/ccst-networking.html"/>
    <hyperlink ref="O51" r:id="rId86" display="https://www.professormesser.com/network-plus/n10-009/n10-009-video/n10-009-training-course/"/>
    <hyperlink ref="M52" r:id="rId87" display="https://www.cisco.com/site/us/en/learn/training-certifications/training/courses/ccst-networking.html"/>
    <hyperlink ref="O52" r:id="rId88" display="https://www.professormesser.com/network-plus/n10-009/n10-009-video/n10-009-training-course/"/>
    <hyperlink ref="M53" r:id="rId89" display="https://www.cisco.com/site/us/en/learn/training-certifications/training/courses/ccst-networking.html"/>
    <hyperlink ref="O53" r:id="rId90" display="https://www.professormesser.com/network-plus/n10-009/n10-009-video/n10-009-training-course/"/>
    <hyperlink ref="M54" r:id="rId91" display="https://www.cisco.com/site/us/en/learn/training-certifications/training/courses/ccst-networking.html"/>
    <hyperlink ref="O54" r:id="rId92" display="https://www.professormesser.com/network-plus/n10-009/n10-009-video/n10-009-training-course/"/>
    <hyperlink ref="M55" r:id="rId93" display="https://www.cisco.com/site/us/en/learn/training-certifications/training/courses/ccst-networking.html"/>
    <hyperlink ref="O55" r:id="rId94" display="https://www.professormesser.com/network-plus/n10-009/n10-009-video/n10-009-training-course/"/>
    <hyperlink ref="M56" r:id="rId95" display="https://www.cisco.com/site/us/en/learn/training-certifications/training/courses/ccst-networking.html"/>
    <hyperlink ref="O56" r:id="rId96" display="https://www.professormesser.com/network-plus/n10-009/n10-009-video/n10-009-training-course/"/>
    <hyperlink ref="M58" r:id="rId97" display="https://www.cisco.com/site/us/en/learn/training-certifications/training/courses/ccst-networking.html"/>
    <hyperlink ref="O58" r:id="rId98" display="https://contenthub.netacad.com/courses/netess/_common/4.5.8-lab---trace-a-route.html"/>
    <hyperlink ref="M59" r:id="rId99" display="https://www.cisco.com/site/us/en/learn/training-certifications/training/courses/ccst-networking.html"/>
    <hyperlink ref="O59" r:id="rId100" display="https://contenthub.netacad.com/courses/netess/_common/4.5.8-lab---trace-a-route.html"/>
    <hyperlink ref="M60" r:id="rId101" display="https://www.cisco.com/site/us/en/learn/training-certifications/training/courses/ccst-networking.html"/>
    <hyperlink ref="O60" r:id="rId102" display="https://contenthub.netacad.com/courses/netess/_common/4.5.8-lab---trace-a-route.html"/>
    <hyperlink ref="M61" r:id="rId103" display="https://www.cisco.com/site/us/en/learn/training-certifications/training/courses/ccst-networking.html"/>
    <hyperlink ref="O61" r:id="rId104" display="https://contenthub.netacad.com/courses/netess/_common/4.5.8-lab---trace-a-route.html"/>
    <hyperlink ref="M62" r:id="rId105" display="https://www.cisco.com/site/us/en/learn/training-certifications/training/courses/ccst-networking.html"/>
    <hyperlink ref="O62" r:id="rId106" display="https://contenthub.netacad.com/courses/netess/_common/4.5.8-lab---trace-a-route.html"/>
    <hyperlink ref="M63" r:id="rId107" display="https://www.cisco.com/site/us/en/learn/training-certifications/training/courses/ccst-networking.html"/>
    <hyperlink ref="O63" r:id="rId108" display="https://contenthub.netacad.com/courses/netess/_common/4.5.8-lab---trace-a-route.html"/>
    <hyperlink ref="M65" r:id="rId109" display="https://www.cisco.com/site/us/en/learn/training-certifications/training/courses/ccst-networking.html"/>
    <hyperlink ref="O65" r:id="rId110" display="https://www.wireshark.org/download.html"/>
    <hyperlink ref="M66" r:id="rId111" display="https://www.cisco.com/site/us/en/learn/training-certifications/training/courses/ccst-networking.html"/>
    <hyperlink ref="O66" r:id="rId112" display="https://www.wireshark.org/download.html"/>
    <hyperlink ref="M67" r:id="rId113" display="https://www.cisco.com/site/us/en/learn/training-certifications/training/courses/ccst-networking.html"/>
    <hyperlink ref="O67" r:id="rId114" display="https://www.wireshark.org/download.html"/>
    <hyperlink ref="M68" r:id="rId115" display="https://www.cisco.com/site/us/en/learn/training-certifications/training/courses/ccst-networking.html"/>
    <hyperlink ref="O68" r:id="rId116" display="https://www.wireshark.org/download.html"/>
    <hyperlink ref="M69" r:id="rId117" display="https://www.cisco.com/site/us/en/learn/training-certifications/training/courses/ccst-networking.html"/>
    <hyperlink ref="O69" r:id="rId118" display="https://www.wireshark.org/download.html"/>
    <hyperlink ref="M70" r:id="rId119" display="https://www.cisco.com/site/us/en/learn/training-certifications/training/courses/ccst-networking.html"/>
    <hyperlink ref="O70" r:id="rId120" display="https://www.wireshark.org/download.html"/>
    <hyperlink ref="M72" r:id="rId121" display="https://www.wireshark.org/download.html"/>
    <hyperlink ref="O72" r:id="rId122" display="https://contenthub.netacad.com/courses/cyberops/_common/5.3.7-lab---introduction-to-wireshark.pdf"/>
    <hyperlink ref="M73" r:id="rId123" display="https://www.wireshark.org/download.html"/>
    <hyperlink ref="O73" r:id="rId124" display="https://contenthub.netacad.com/courses/cyberops/_common/5.3.7-lab---introduction-to-wireshark.pdf"/>
    <hyperlink ref="M74" r:id="rId125" display="https://www.wireshark.org/download.html"/>
    <hyperlink ref="O74" r:id="rId126" display="https://contenthub.netacad.com/courses/cyberops/_common/5.3.7-lab---introduction-to-wireshark.pdf"/>
    <hyperlink ref="M75" r:id="rId127" display="https://www.wireshark.org/download.html"/>
    <hyperlink ref="O75" r:id="rId128" display="https://contenthub.netacad.com/courses/cyberops/_common/5.3.7-lab---introduction-to-wireshark.pdf"/>
    <hyperlink ref="M76" r:id="rId129" display="https://www.wireshark.org/download.html"/>
    <hyperlink ref="O76" r:id="rId130" display="https://contenthub.netacad.com/courses/cyberops/_common/5.3.7-lab---introduction-to-wireshark.pdf"/>
    <hyperlink ref="M77" r:id="rId131" display="https://www.wireshark.org/download.html"/>
    <hyperlink ref="O77" r:id="rId132" display="https://contenthub.netacad.com/courses/cyberops/_common/5.3.7-lab---introduction-to-wireshark.pdf"/>
    <hyperlink ref="M79" r:id="rId133" display="https://tryhackme.com/path/outline/presecurity"/>
    <hyperlink ref="O79" r:id="rId134" display="https://www.professormesser.com/network-plus/n10-009/n10-009-video/n10-009-training-course/"/>
    <hyperlink ref="M80" r:id="rId135" display="https://tryhackme.com/path/outline/presecurity"/>
    <hyperlink ref="O80" r:id="rId136" display="https://www.professormesser.com/network-plus/n10-009/n10-009-video/n10-009-training-course/"/>
    <hyperlink ref="M81" r:id="rId137" display="https://tryhackme.com/path/outline/presecurity"/>
    <hyperlink ref="O81" r:id="rId138" display="https://www.professormesser.com/network-plus/n10-009/n10-009-video/n10-009-training-course/"/>
    <hyperlink ref="M82" r:id="rId139" display="https://tryhackme.com/path/outline/presecurity"/>
    <hyperlink ref="O82" r:id="rId140" display="https://www.professormesser.com/network-plus/n10-009/n10-009-video/n10-009-training-course/"/>
    <hyperlink ref="M83" r:id="rId141" display="https://tryhackme.com/path/outline/presecurity"/>
    <hyperlink ref="O83" r:id="rId142" display="https://www.professormesser.com/network-plus/n10-009/n10-009-video/n10-009-training-course/"/>
    <hyperlink ref="M84" r:id="rId143" display="https://tryhackme.com/path/outline/presecurity"/>
    <hyperlink ref="O84" r:id="rId144" display="https://www.professormesser.com/network-plus/n10-009/n10-009-video/n10-009-training-course/"/>
    <hyperlink ref="M86" r:id="rId145" display="https://www.coursera.org/learn/foundations-of-cybersecurity?specialization=google-cybersecurity"/>
    <hyperlink ref="O86" r:id="rId146" display="https://www.professormesser.com/security-plus/sy0-701/sy0-701-video/sy0-701-comptia-security-plus-course/"/>
    <hyperlink ref="M87" r:id="rId147" display="https://www.coursera.org/learn/foundations-of-cybersecurity?specialization=google-cybersecurity"/>
    <hyperlink ref="O87" r:id="rId148" display="https://www.professormesser.com/security-plus/sy0-701/sy0-701-video/sy0-701-comptia-security-plus-course/"/>
    <hyperlink ref="M88" r:id="rId149" display="https://www.coursera.org/learn/foundations-of-cybersecurity?specialization=google-cybersecurity"/>
    <hyperlink ref="O88" r:id="rId150" display="https://www.professormesser.com/security-plus/sy0-701/sy0-701-video/sy0-701-comptia-security-plus-course/"/>
    <hyperlink ref="M89" r:id="rId151" display="https://www.coursera.org/learn/foundations-of-cybersecurity?specialization=google-cybersecurity"/>
    <hyperlink ref="O89" r:id="rId152" display="https://www.professormesser.com/security-plus/sy0-701/sy0-701-video/sy0-701-comptia-security-plus-course/"/>
    <hyperlink ref="M90" r:id="rId153" display="https://www.coursera.org/learn/foundations-of-cybersecurity?specialization=google-cybersecurity"/>
    <hyperlink ref="O90" r:id="rId154" display="https://www.professormesser.com/security-plus/sy0-701/sy0-701-video/sy0-701-comptia-security-plus-course/"/>
    <hyperlink ref="M91" r:id="rId155" display="https://www.coursera.org/learn/foundations-of-cybersecurity?specialization=google-cybersecurity"/>
    <hyperlink ref="O91" r:id="rId156" display="https://www.professormesser.com/security-plus/sy0-701/sy0-701-video/sy0-701-comptia-security-plus-course/"/>
    <hyperlink ref="M93" r:id="rId157" display="https://www.coursera.org/learn/manage-security-risks?specialization=google-cybersecurity"/>
    <hyperlink ref="M94" r:id="rId158" display="https://www.coursera.org/learn/manage-security-risks?specialization=google-cybersecurity"/>
    <hyperlink ref="M95" r:id="rId159" display="https://www.coursera.org/learn/manage-security-risks?specialization=google-cybersecurity"/>
    <hyperlink ref="M96" r:id="rId160" display="https://www.coursera.org/learn/manage-security-risks?specialization=google-cybersecurity"/>
    <hyperlink ref="M97" r:id="rId161" display="https://www.coursera.org/learn/manage-security-risks?specialization=google-cybersecurity"/>
    <hyperlink ref="M98" r:id="rId162" display="https://www.coursera.org/learn/manage-security-risks?specialization=google-cybersecurity"/>
    <hyperlink ref="M100" r:id="rId163" display="https://www.coursera.org/learn/networks-and-network-security?specialization=google-cybersecurity"/>
    <hyperlink ref="O100" r:id="rId164" display="https://www.wireshark.org/download.html"/>
    <hyperlink ref="M101" r:id="rId165" display="https://www.coursera.org/learn/networks-and-network-security?specialization=google-cybersecurity"/>
    <hyperlink ref="O101" r:id="rId166" display="https://www.wireshark.org/download.html"/>
    <hyperlink ref="M102" r:id="rId167" display="https://www.coursera.org/learn/networks-and-network-security?specialization=google-cybersecurity"/>
    <hyperlink ref="O102" r:id="rId168" display="https://www.wireshark.org/download.html"/>
    <hyperlink ref="M103" r:id="rId169" display="https://www.coursera.org/learn/networks-and-network-security?specialization=google-cybersecurity"/>
    <hyperlink ref="O103" r:id="rId170" display="https://www.wireshark.org/download.html"/>
    <hyperlink ref="M104" r:id="rId171" display="https://www.coursera.org/learn/networks-and-network-security?specialization=google-cybersecurity"/>
    <hyperlink ref="O104" r:id="rId172" display="https://www.wireshark.org/download.html"/>
    <hyperlink ref="M105" r:id="rId173" display="https://www.coursera.org/learn/networks-and-network-security?specialization=google-cybersecurity"/>
    <hyperlink ref="O105" r:id="rId174" display="https://www.wireshark.org/download.html"/>
    <hyperlink ref="M107" r:id="rId175" display="https://www.coursera.org/learn/linux-and-sql?specialization=google-cybersecurity"/>
    <hyperlink ref="O107" r:id="rId176" display="https://www.netdevgroup.com/online/courses/open-source/linux-unhatched"/>
    <hyperlink ref="M108" r:id="rId177" display="https://www.coursera.org/learn/linux-and-sql?specialization=google-cybersecurity"/>
    <hyperlink ref="O108" r:id="rId178" display="https://www.netdevgroup.com/online/courses/open-source/linux-unhatched"/>
    <hyperlink ref="M109" r:id="rId179" display="https://www.coursera.org/learn/linux-and-sql?specialization=google-cybersecurity"/>
    <hyperlink ref="O109" r:id="rId180" display="https://www.netdevgroup.com/online/courses/open-source/linux-unhatched"/>
    <hyperlink ref="M110" r:id="rId181" display="https://www.coursera.org/learn/linux-and-sql?specialization=google-cybersecurity"/>
    <hyperlink ref="O110" r:id="rId182" display="https://www.netdevgroup.com/online/courses/open-source/linux-unhatched"/>
    <hyperlink ref="M111" r:id="rId183" display="https://www.coursera.org/learn/linux-and-sql?specialization=google-cybersecurity"/>
    <hyperlink ref="O111" r:id="rId184" display="https://www.netdevgroup.com/online/courses/open-source/linux-unhatched"/>
    <hyperlink ref="M112" r:id="rId185" display="https://www.coursera.org/learn/linux-and-sql?specialization=google-cybersecurity"/>
    <hyperlink ref="O112" r:id="rId186" display="https://www.netdevgroup.com/online/courses/open-source/linux-unhatched"/>
    <hyperlink ref="M114" r:id="rId187" display="https://www.coursera.org/learn/linux-and-sql?specialization=google-cybersecurity"/>
    <hyperlink ref="O114" r:id="rId188" display="https://tryhackme.com/path/outline/cybersecurity101"/>
    <hyperlink ref="M115" r:id="rId189" display="https://www.coursera.org/learn/linux-and-sql?specialization=google-cybersecurity"/>
    <hyperlink ref="O115" r:id="rId190" display="https://tryhackme.com/path/outline/cybersecurity101"/>
    <hyperlink ref="M116" r:id="rId191" display="https://www.coursera.org/learn/linux-and-sql?specialization=google-cybersecurity"/>
    <hyperlink ref="O116" r:id="rId192" display="https://tryhackme.com/path/outline/cybersecurity101"/>
    <hyperlink ref="M117" r:id="rId193" display="https://www.coursera.org/learn/linux-and-sql?specialization=google-cybersecurity"/>
    <hyperlink ref="O117" r:id="rId194" display="https://tryhackme.com/path/outline/cybersecurity101"/>
    <hyperlink ref="M118" r:id="rId195" display="https://www.coursera.org/learn/linux-and-sql?specialization=google-cybersecurity"/>
    <hyperlink ref="O118" r:id="rId196" display="https://tryhackme.com/path/outline/cybersecurity101"/>
    <hyperlink ref="M119" r:id="rId197" display="https://www.coursera.org/learn/linux-and-sql?specialization=google-cybersecurity"/>
    <hyperlink ref="O119" r:id="rId198" display="https://tryhackme.com/path/outline/cybersecurity101"/>
    <hyperlink ref="M121" r:id="rId199" display="https://www.coursera.org/learn/assets-threats-and-vulnerabilities?specialization=google-cybersecurity"/>
    <hyperlink ref="O121" r:id="rId200" display="https://www.professormesser.com/security-plus/sy0-701/sy0-701-video/sy0-701-comptia-security-plus-course/"/>
    <hyperlink ref="M122" r:id="rId201" display="https://www.coursera.org/learn/assets-threats-and-vulnerabilities?specialization=google-cybersecurity"/>
    <hyperlink ref="O122" r:id="rId202" display="https://www.professormesser.com/security-plus/sy0-701/sy0-701-video/sy0-701-comptia-security-plus-course/"/>
    <hyperlink ref="M123" r:id="rId203" display="https://www.coursera.org/learn/assets-threats-and-vulnerabilities?specialization=google-cybersecurity"/>
    <hyperlink ref="O123" r:id="rId204" display="https://www.professormesser.com/security-plus/sy0-701/sy0-701-video/sy0-701-comptia-security-plus-course/"/>
    <hyperlink ref="M124" r:id="rId205" display="https://www.coursera.org/learn/assets-threats-and-vulnerabilities?specialization=google-cybersecurity"/>
    <hyperlink ref="O124" r:id="rId206" display="https://www.professormesser.com/security-plus/sy0-701/sy0-701-video/sy0-701-comptia-security-plus-course/"/>
    <hyperlink ref="M125" r:id="rId207" display="https://www.coursera.org/learn/assets-threats-and-vulnerabilities?specialization=google-cybersecurity"/>
    <hyperlink ref="O125" r:id="rId208" display="https://www.professormesser.com/security-plus/sy0-701/sy0-701-video/sy0-701-comptia-security-plus-course/"/>
    <hyperlink ref="M126" r:id="rId209" display="https://www.coursera.org/learn/assets-threats-and-vulnerabilities?specialization=google-cybersecurity"/>
    <hyperlink ref="O126" r:id="rId210" display="https://www.professormesser.com/security-plus/sy0-701/sy0-701-video/sy0-701-comptia-security-plus-course/"/>
    <hyperlink ref="M128" r:id="rId211" display="https://www.coursera.org/learn/assets-threats-and-vulnerabilities?specialization=google-cybersecurity"/>
    <hyperlink ref="O128" r:id="rId212" display="https://tryhackme.com/path/outline/cybersecurity101"/>
    <hyperlink ref="M129" r:id="rId213" display="https://www.coursera.org/learn/assets-threats-and-vulnerabilities?specialization=google-cybersecurity"/>
    <hyperlink ref="O129" r:id="rId214" display="https://tryhackme.com/path/outline/cybersecurity101"/>
    <hyperlink ref="M130" r:id="rId215" display="https://www.coursera.org/learn/assets-threats-and-vulnerabilities?specialization=google-cybersecurity"/>
    <hyperlink ref="O130" r:id="rId216" display="https://tryhackme.com/path/outline/cybersecurity101"/>
    <hyperlink ref="M131" r:id="rId217" display="https://www.coursera.org/learn/assets-threats-and-vulnerabilities?specialization=google-cybersecurity"/>
    <hyperlink ref="O131" r:id="rId218" display="https://tryhackme.com/path/outline/cybersecurity101"/>
    <hyperlink ref="M132" r:id="rId219" display="https://www.coursera.org/learn/assets-threats-and-vulnerabilities?specialization=google-cybersecurity"/>
    <hyperlink ref="O132" r:id="rId220" display="https://tryhackme.com/path/outline/cybersecurity101"/>
    <hyperlink ref="M133" r:id="rId221" display="https://www.coursera.org/learn/assets-threats-and-vulnerabilities?specialization=google-cybersecurity"/>
    <hyperlink ref="O133" r:id="rId222" display="https://tryhackme.com/path/outline/cybersecurity101"/>
    <hyperlink ref="M135" r:id="rId223" display="https://www.coursera.org/learn/detection-and-response?specialization=google-cybersecurity"/>
    <hyperlink ref="O135" r:id="rId224" display="https://www.cisa.gov/resources-tools/programs/Incident-Response-Training"/>
    <hyperlink ref="M136" r:id="rId225" display="https://www.coursera.org/learn/detection-and-response?specialization=google-cybersecurity"/>
    <hyperlink ref="O136" r:id="rId226" display="https://www.cisa.gov/resources-tools/programs/Incident-Response-Training"/>
    <hyperlink ref="M137" r:id="rId227" display="https://www.coursera.org/learn/detection-and-response?specialization=google-cybersecurity"/>
    <hyperlink ref="O137" r:id="rId228" display="https://www.cisa.gov/resources-tools/programs/Incident-Response-Training"/>
    <hyperlink ref="M138" r:id="rId229" display="https://www.coursera.org/learn/detection-and-response?specialization=google-cybersecurity"/>
    <hyperlink ref="O138" r:id="rId230" display="https://www.cisa.gov/resources-tools/programs/Incident-Response-Training"/>
    <hyperlink ref="M139" r:id="rId231" display="https://www.coursera.org/learn/detection-and-response?specialization=google-cybersecurity"/>
    <hyperlink ref="O139" r:id="rId232" display="https://www.cisa.gov/resources-tools/programs/Incident-Response-Training"/>
    <hyperlink ref="M140" r:id="rId233" display="https://www.coursera.org/learn/detection-and-response?specialization=google-cybersecurity"/>
    <hyperlink ref="O140" r:id="rId234" display="https://www.cisa.gov/resources-tools/programs/Incident-Response-Training"/>
    <hyperlink ref="M142" r:id="rId235" display="https://www.coursera.org/learn/detection-and-response?specialization=google-cybersecurity"/>
    <hyperlink ref="O142" r:id="rId236" display="https://tryhackme.com/module/defensive-security"/>
    <hyperlink ref="M143" r:id="rId237" display="https://www.coursera.org/learn/detection-and-response?specialization=google-cybersecurity"/>
    <hyperlink ref="O143" r:id="rId238" display="https://tryhackme.com/module/defensive-security"/>
    <hyperlink ref="M144" r:id="rId239" display="https://www.coursera.org/learn/detection-and-response?specialization=google-cybersecurity"/>
    <hyperlink ref="O144" r:id="rId240" display="https://tryhackme.com/module/defensive-security"/>
    <hyperlink ref="M145" r:id="rId241" display="https://www.coursera.org/learn/detection-and-response?specialization=google-cybersecurity"/>
    <hyperlink ref="O145" r:id="rId242" display="https://tryhackme.com/module/defensive-security"/>
    <hyperlink ref="M146" r:id="rId243" display="https://www.coursera.org/learn/detection-and-response?specialization=google-cybersecurity"/>
    <hyperlink ref="O146" r:id="rId244" display="https://tryhackme.com/module/defensive-security"/>
    <hyperlink ref="M147" r:id="rId245" display="https://www.coursera.org/learn/detection-and-response?specialization=google-cybersecurity"/>
    <hyperlink ref="O147" r:id="rId246" display="https://tryhackme.com/module/defensive-security"/>
    <hyperlink ref="M149" r:id="rId247" display="https://www.coursera.org/learn/automate-cybersecurity-tasks-with-python?specialization=google-cybersecurity"/>
    <hyperlink ref="O149" r:id="rId248" display="https://www.coursera.org/professional-certificates/google-cybersecurity"/>
    <hyperlink ref="M150" r:id="rId249" display="https://www.coursera.org/learn/automate-cybersecurity-tasks-with-python?specialization=google-cybersecurity"/>
    <hyperlink ref="O150" r:id="rId250" display="https://www.coursera.org/professional-certificates/google-cybersecurity"/>
    <hyperlink ref="M151" r:id="rId251" display="https://www.coursera.org/learn/automate-cybersecurity-tasks-with-python?specialization=google-cybersecurity"/>
    <hyperlink ref="O151" r:id="rId252" display="https://www.coursera.org/professional-certificates/google-cybersecurity"/>
    <hyperlink ref="M152" r:id="rId253" display="https://www.coursera.org/learn/automate-cybersecurity-tasks-with-python?specialization=google-cybersecurity"/>
    <hyperlink ref="O152" r:id="rId254" display="https://www.coursera.org/professional-certificates/google-cybersecurity"/>
    <hyperlink ref="M153" r:id="rId255" display="https://www.coursera.org/learn/automate-cybersecurity-tasks-with-python?specialization=google-cybersecurity"/>
    <hyperlink ref="O153" r:id="rId256" display="https://www.coursera.org/professional-certificates/google-cybersecurity"/>
    <hyperlink ref="M154" r:id="rId257" display="https://www.coursera.org/learn/automate-cybersecurity-tasks-with-python?specialization=google-cybersecurity"/>
    <hyperlink ref="O154" r:id="rId258" display="https://www.coursera.org/professional-certificates/google-cybersecurity"/>
    <hyperlink ref="M156" r:id="rId259" display="https://www.coursera.org/learn/automate-cybersecurity-tasks-with-python?specialization=google-cybersecurity"/>
    <hyperlink ref="O156" r:id="rId260" display="https://tryhackme.com/path/outline/cybersecurity101"/>
    <hyperlink ref="M157" r:id="rId261" display="https://www.coursera.org/learn/automate-cybersecurity-tasks-with-python?specialization=google-cybersecurity"/>
    <hyperlink ref="O157" r:id="rId262" display="https://tryhackme.com/path/outline/cybersecurity101"/>
    <hyperlink ref="M158" r:id="rId263" display="https://www.coursera.org/learn/automate-cybersecurity-tasks-with-python?specialization=google-cybersecurity"/>
    <hyperlink ref="O158" r:id="rId264" display="https://tryhackme.com/path/outline/cybersecurity101"/>
    <hyperlink ref="M159" r:id="rId265" display="https://www.coursera.org/learn/automate-cybersecurity-tasks-with-python?specialization=google-cybersecurity"/>
    <hyperlink ref="O159" r:id="rId266" display="https://tryhackme.com/path/outline/cybersecurity101"/>
    <hyperlink ref="M160" r:id="rId267" display="https://www.coursera.org/learn/automate-cybersecurity-tasks-with-python?specialization=google-cybersecurity"/>
    <hyperlink ref="O160" r:id="rId268" display="https://tryhackme.com/path/outline/cybersecurity101"/>
    <hyperlink ref="M161" r:id="rId269" display="https://www.coursera.org/learn/automate-cybersecurity-tasks-with-python?specialization=google-cybersecurity"/>
    <hyperlink ref="O161" r:id="rId270" display="https://tryhackme.com/path/outline/cybersecurity101"/>
    <hyperlink ref="M163" r:id="rId271" display="https://www.coursera.org/learn/prepare-for-cybersecurity-jobs?specialization=google-cybersecurity"/>
    <hyperlink ref="O163" r:id="rId272" display="https://www.coursera.org/professional-certificates/google-cybersecurity"/>
    <hyperlink ref="M164" r:id="rId273" display="https://www.coursera.org/learn/prepare-for-cybersecurity-jobs?specialization=google-cybersecurity"/>
    <hyperlink ref="O164" r:id="rId274" display="https://www.coursera.org/professional-certificates/google-cybersecurity"/>
    <hyperlink ref="M165" r:id="rId275" display="https://www.coursera.org/learn/prepare-for-cybersecurity-jobs?specialization=google-cybersecurity"/>
    <hyperlink ref="O165" r:id="rId276" display="https://www.coursera.org/professional-certificates/google-cybersecurity"/>
    <hyperlink ref="M166" r:id="rId277" display="https://www.coursera.org/learn/prepare-for-cybersecurity-jobs?specialization=google-cybersecurity"/>
    <hyperlink ref="O166" r:id="rId278" display="https://www.coursera.org/professional-certificates/google-cybersecurity"/>
    <hyperlink ref="M167" r:id="rId279" display="https://www.coursera.org/learn/prepare-for-cybersecurity-jobs?specialization=google-cybersecurity"/>
    <hyperlink ref="O167" r:id="rId280" display="https://www.coursera.org/professional-certificates/google-cybersecurity"/>
    <hyperlink ref="M168" r:id="rId281" display="https://www.coursera.org/learn/prepare-for-cybersecurity-jobs?specialization=google-cybersecurity"/>
    <hyperlink ref="O168" r:id="rId282" display="https://www.coursera.org/professional-certificates/google-cybersecurity"/>
    <hyperlink ref="M170" r:id="rId283" display="https://www.coursera.org/learn/accelerate-your-job-search-with-ai?specialization=google-cybersecurity"/>
    <hyperlink ref="O170" r:id="rId284" display="https://www.coursera.org/learn/prepare-for-cybersecurity-jobs?specialization=google-cybersecurity"/>
    <hyperlink ref="M171" r:id="rId285" display="https://www.coursera.org/learn/accelerate-your-job-search-with-ai?specialization=google-cybersecurity"/>
    <hyperlink ref="O171" r:id="rId286" display="https://www.coursera.org/learn/prepare-for-cybersecurity-jobs?specialization=google-cybersecurity"/>
    <hyperlink ref="M172" r:id="rId287" display="https://www.coursera.org/learn/accelerate-your-job-search-with-ai?specialization=google-cybersecurity"/>
    <hyperlink ref="O172" r:id="rId288" display="https://www.coursera.org/learn/prepare-for-cybersecurity-jobs?specialization=google-cybersecurity"/>
    <hyperlink ref="M173" r:id="rId289" display="https://www.coursera.org/learn/accelerate-your-job-search-with-ai?specialization=google-cybersecurity"/>
    <hyperlink ref="O173" r:id="rId290" display="https://www.coursera.org/learn/prepare-for-cybersecurity-jobs?specialization=google-cybersecurity"/>
    <hyperlink ref="M174" r:id="rId291" display="https://www.coursera.org/learn/accelerate-your-job-search-with-ai?specialization=google-cybersecurity"/>
    <hyperlink ref="O174" r:id="rId292" display="https://www.coursera.org/learn/prepare-for-cybersecurity-jobs?specialization=google-cybersecurity"/>
    <hyperlink ref="M175" r:id="rId293" display="https://www.coursera.org/learn/accelerate-your-job-search-with-ai?specialization=google-cybersecurity"/>
    <hyperlink ref="O175" r:id="rId294" display="https://www.coursera.org/learn/prepare-for-cybersecurity-jobs?specialization=google-cybersecurity"/>
    <hyperlink ref="M177" r:id="rId295" display="https://www.professormesser.com/security-plus/sy0-701/sy0-701-video/sy0-701-comptia-security-plus-course/"/>
    <hyperlink ref="O177" r:id="rId296" display="https://www.coursera.org/professional-certificates/google-cybersecurity"/>
    <hyperlink ref="M178" r:id="rId297" display="https://www.professormesser.com/security-plus/sy0-701/sy0-701-video/sy0-701-comptia-security-plus-course/"/>
    <hyperlink ref="O178" r:id="rId298" display="https://www.coursera.org/professional-certificates/google-cybersecurity"/>
    <hyperlink ref="M179" r:id="rId299" display="https://www.professormesser.com/security-plus/sy0-701/sy0-701-video/sy0-701-comptia-security-plus-course/"/>
    <hyperlink ref="O179" r:id="rId300" display="https://www.coursera.org/professional-certificates/google-cybersecurity"/>
    <hyperlink ref="M180" r:id="rId301" display="https://www.professormesser.com/security-plus/sy0-701/sy0-701-video/sy0-701-comptia-security-plus-course/"/>
    <hyperlink ref="O180" r:id="rId302" display="https://www.coursera.org/professional-certificates/google-cybersecurity"/>
    <hyperlink ref="M181" r:id="rId303" display="https://www.professormesser.com/security-plus/sy0-701/sy0-701-video/sy0-701-comptia-security-plus-course/"/>
    <hyperlink ref="O181" r:id="rId304" display="https://www.coursera.org/professional-certificates/google-cybersecurity"/>
    <hyperlink ref="M182" r:id="rId305" display="https://www.professormesser.com/security-plus/sy0-701/sy0-701-video/sy0-701-comptia-security-plus-course/"/>
    <hyperlink ref="O182" r:id="rId306" display="https://www.coursera.org/professional-certificates/google-cybersecurity"/>
    <hyperlink ref="M184" r:id="rId307" display="https://tryhackme.com/path/outline/cybersecurity101"/>
    <hyperlink ref="M185" r:id="rId308" display="https://tryhackme.com/path/outline/cybersecurity101"/>
    <hyperlink ref="M186" r:id="rId309" display="https://tryhackme.com/path/outline/cybersecurity101"/>
    <hyperlink ref="M187" r:id="rId310" display="https://tryhackme.com/path/outline/cybersecurity101"/>
    <hyperlink ref="M188" r:id="rId311" display="https://tryhackme.com/path/outline/cybersecurity101"/>
    <hyperlink ref="M189" r:id="rId312" display="https://tryhackme.com/path/outline/cybersecurity101"/>
    <hyperlink ref="M191" r:id="rId313" display="https://www.cisa.gov/resources-tools/programs/Incident-Response-Training"/>
    <hyperlink ref="O191" r:id="rId314" display="https://www.cisa.gov/resources-tools/resources/cisa-learning"/>
    <hyperlink ref="M192" r:id="rId315" display="https://www.cisa.gov/resources-tools/programs/Incident-Response-Training"/>
    <hyperlink ref="O192" r:id="rId316" display="https://www.cisa.gov/resources-tools/resources/cisa-learning"/>
    <hyperlink ref="M193" r:id="rId317" display="https://www.cisa.gov/resources-tools/programs/Incident-Response-Training"/>
    <hyperlink ref="O193" r:id="rId318" display="https://www.cisa.gov/resources-tools/resources/cisa-learning"/>
    <hyperlink ref="M194" r:id="rId319" display="https://www.cisa.gov/resources-tools/programs/Incident-Response-Training"/>
    <hyperlink ref="O194" r:id="rId320" display="https://www.cisa.gov/resources-tools/resources/cisa-learning"/>
    <hyperlink ref="M195" r:id="rId321" display="https://www.cisa.gov/resources-tools/programs/Incident-Response-Training"/>
    <hyperlink ref="O195" r:id="rId322" display="https://www.cisa.gov/resources-tools/resources/cisa-learning"/>
    <hyperlink ref="M196" r:id="rId323" display="https://www.cisa.gov/resources-tools/programs/Incident-Response-Training"/>
    <hyperlink ref="O196" r:id="rId324" display="https://www.cisa.gov/resources-tools/resources/cisa-learning"/>
    <hyperlink ref="M198" r:id="rId325" display="https://www.cisa.gov/critical-infrastructure-training"/>
    <hyperlink ref="O198" r:id="rId326" display="https://www.cisa.gov/resources-tools/resources/cyber-security-evaluation-tool-cset-fact-sheet-public-safety"/>
    <hyperlink ref="M199" r:id="rId327" display="https://www.cisa.gov/critical-infrastructure-training"/>
    <hyperlink ref="O199" r:id="rId328" display="https://www.cisa.gov/resources-tools/resources/cyber-security-evaluation-tool-cset-fact-sheet-public-safety"/>
    <hyperlink ref="M200" r:id="rId329" display="https://www.cisa.gov/critical-infrastructure-training"/>
    <hyperlink ref="O200" r:id="rId330" display="https://www.cisa.gov/resources-tools/resources/cyber-security-evaluation-tool-cset-fact-sheet-public-safety"/>
    <hyperlink ref="M201" r:id="rId331" display="https://www.cisa.gov/critical-infrastructure-training"/>
    <hyperlink ref="O201" r:id="rId332" display="https://www.cisa.gov/resources-tools/resources/cyber-security-evaluation-tool-cset-fact-sheet-public-safety"/>
    <hyperlink ref="M202" r:id="rId333" display="https://www.cisa.gov/critical-infrastructure-training"/>
    <hyperlink ref="O202" r:id="rId334" display="https://www.cisa.gov/resources-tools/resources/cyber-security-evaluation-tool-cset-fact-sheet-public-safety"/>
    <hyperlink ref="M203" r:id="rId335" display="https://www.cisa.gov/critical-infrastructure-training"/>
    <hyperlink ref="O203" r:id="rId336" display="https://www.cisa.gov/resources-tools/resources/cyber-security-evaluation-tool-cset-fact-sheet-public-safety"/>
    <hyperlink ref="M205" r:id="rId337" display="https://tryhackme.com/module/defensive-security"/>
    <hyperlink ref="O205" r:id="rId338" display="https://www.cisa.gov/resources-tools/programs/Incident-Response-Training"/>
    <hyperlink ref="M206" r:id="rId339" display="https://tryhackme.com/module/defensive-security"/>
    <hyperlink ref="O206" r:id="rId340" display="https://www.cisa.gov/resources-tools/programs/Incident-Response-Training"/>
    <hyperlink ref="M207" r:id="rId341" display="https://tryhackme.com/module/defensive-security"/>
    <hyperlink ref="O207" r:id="rId342" display="https://www.cisa.gov/resources-tools/programs/Incident-Response-Training"/>
    <hyperlink ref="M208" r:id="rId343" display="https://tryhackme.com/module/defensive-security"/>
    <hyperlink ref="O208" r:id="rId344" display="https://www.cisa.gov/resources-tools/programs/Incident-Response-Training"/>
    <hyperlink ref="M209" r:id="rId345" display="https://tryhackme.com/module/defensive-security"/>
    <hyperlink ref="O209" r:id="rId346" display="https://www.cisa.gov/resources-tools/programs/Incident-Response-Training"/>
    <hyperlink ref="M210" r:id="rId347" display="https://tryhackme.com/module/defensive-security"/>
    <hyperlink ref="O210" r:id="rId348" display="https://www.cisa.gov/resources-tools/programs/Incident-Response-Training"/>
    <hyperlink ref="M212" r:id="rId349" display="https://www.coursera.org/learn/prepare-for-cybersecurity-jobs?specialization=google-cybersecurity"/>
    <hyperlink ref="M213" r:id="rId350" display="https://www.coursera.org/learn/prepare-for-cybersecurity-jobs?specialization=google-cybersecurity"/>
    <hyperlink ref="M214" r:id="rId351" display="https://www.coursera.org/learn/prepare-for-cybersecurity-jobs?specialization=google-cybersecurity"/>
    <hyperlink ref="M215" r:id="rId352" display="https://www.coursera.org/learn/prepare-for-cybersecurity-jobs?specialization=google-cybersecurity"/>
    <hyperlink ref="M216" r:id="rId353" display="https://www.coursera.org/learn/prepare-for-cybersecurity-jobs?specialization=google-cybersecurity"/>
    <hyperlink ref="M217" r:id="rId354" display="https://www.coursera.org/learn/prepare-for-cybersecurity-jobs?specialization=google-cybersecurit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5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8"/>
    <col collapsed="false" customWidth="true" hidden="false" outlineLevel="0" max="4" min="4" style="0" width="24"/>
    <col collapsed="false" customWidth="true" hidden="false" outlineLevel="0" max="5" min="5" style="0" width="38"/>
    <col collapsed="false" customWidth="true" hidden="false" outlineLevel="0" max="6" min="6" style="0" width="42"/>
    <col collapsed="false" customWidth="true" hidden="false" outlineLevel="0" max="7" min="7" style="0" width="44"/>
    <col collapsed="false" customWidth="true" hidden="false" outlineLevel="0" max="8" min="8" style="0" width="34"/>
    <col collapsed="false" customWidth="true" hidden="false" outlineLevel="0" max="9" min="9" style="0" width="18"/>
    <col collapsed="false" customWidth="true" hidden="false" outlineLevel="0" max="10" min="10" style="0" width="40"/>
  </cols>
  <sheetData>
    <row r="1" customFormat="false" ht="21.75" hidden="false" customHeight="true" outlineLevel="0" collapsed="false">
      <c r="A1" s="33" t="s">
        <v>542</v>
      </c>
      <c r="B1" s="33"/>
      <c r="C1" s="33"/>
      <c r="D1" s="33"/>
      <c r="E1" s="33"/>
      <c r="F1" s="33"/>
      <c r="G1" s="33"/>
      <c r="H1" s="33"/>
      <c r="I1" s="33"/>
      <c r="J1" s="33"/>
    </row>
    <row r="2" customFormat="false" ht="33.75" hidden="false" customHeight="true" outlineLevel="0" collapsed="false">
      <c r="A2" s="34" t="s">
        <v>543</v>
      </c>
      <c r="B2" s="34"/>
      <c r="C2" s="34"/>
      <c r="D2" s="34"/>
      <c r="E2" s="34"/>
      <c r="F2" s="34"/>
      <c r="G2" s="34"/>
      <c r="H2" s="34"/>
      <c r="I2" s="34"/>
      <c r="J2" s="34"/>
    </row>
    <row r="3" customFormat="false" ht="15" hidden="false" customHeight="false" outlineLevel="0" collapsed="false">
      <c r="A3" s="22" t="s">
        <v>544</v>
      </c>
      <c r="B3" s="22" t="s">
        <v>56</v>
      </c>
      <c r="C3" s="22" t="s">
        <v>23</v>
      </c>
      <c r="D3" s="22" t="s">
        <v>545</v>
      </c>
      <c r="E3" s="22" t="s">
        <v>546</v>
      </c>
      <c r="F3" s="22" t="s">
        <v>547</v>
      </c>
      <c r="G3" s="22" t="s">
        <v>548</v>
      </c>
      <c r="H3" s="22" t="s">
        <v>549</v>
      </c>
      <c r="I3" s="22" t="s">
        <v>550</v>
      </c>
      <c r="J3" s="22" t="s">
        <v>551</v>
      </c>
    </row>
    <row r="4" customFormat="false" ht="23.85" hidden="false" customHeight="false" outlineLevel="0" collapsed="false">
      <c r="A4" s="35" t="s">
        <v>552</v>
      </c>
      <c r="B4" s="35"/>
      <c r="C4" s="35" t="s">
        <v>553</v>
      </c>
      <c r="D4" s="35" t="s">
        <v>554</v>
      </c>
      <c r="E4" s="35" t="s">
        <v>555</v>
      </c>
      <c r="F4" s="35" t="s">
        <v>556</v>
      </c>
      <c r="G4" s="35" t="s">
        <v>557</v>
      </c>
      <c r="H4" s="35" t="s">
        <v>558</v>
      </c>
      <c r="I4" s="35" t="s">
        <v>559</v>
      </c>
      <c r="J4" s="35" t="s">
        <v>560</v>
      </c>
    </row>
    <row r="5" customFormat="false" ht="23.85" hidden="false" customHeight="false" outlineLevel="0" collapsed="false">
      <c r="A5" s="35" t="s">
        <v>552</v>
      </c>
      <c r="B5" s="35"/>
      <c r="C5" s="35" t="s">
        <v>553</v>
      </c>
      <c r="D5" s="35" t="s">
        <v>561</v>
      </c>
      <c r="E5" s="35" t="s">
        <v>562</v>
      </c>
      <c r="F5" s="35" t="s">
        <v>563</v>
      </c>
      <c r="G5" s="35" t="s">
        <v>564</v>
      </c>
      <c r="H5" s="35" t="s">
        <v>565</v>
      </c>
      <c r="I5" s="35" t="s">
        <v>559</v>
      </c>
      <c r="J5" s="35" t="s">
        <v>566</v>
      </c>
    </row>
    <row r="6" customFormat="false" ht="23.85" hidden="false" customHeight="false" outlineLevel="0" collapsed="false">
      <c r="A6" s="35" t="s">
        <v>552</v>
      </c>
      <c r="B6" s="35"/>
      <c r="C6" s="35" t="s">
        <v>553</v>
      </c>
      <c r="D6" s="35" t="s">
        <v>567</v>
      </c>
      <c r="E6" s="35" t="s">
        <v>568</v>
      </c>
      <c r="F6" s="35" t="s">
        <v>569</v>
      </c>
      <c r="G6" s="35" t="s">
        <v>570</v>
      </c>
      <c r="H6" s="35" t="s">
        <v>571</v>
      </c>
      <c r="I6" s="35" t="s">
        <v>559</v>
      </c>
      <c r="J6" s="35" t="s">
        <v>572</v>
      </c>
    </row>
    <row r="7" customFormat="false" ht="23.85" hidden="false" customHeight="false" outlineLevel="0" collapsed="false">
      <c r="A7" s="35" t="s">
        <v>552</v>
      </c>
      <c r="B7" s="35"/>
      <c r="C7" s="35" t="s">
        <v>553</v>
      </c>
      <c r="D7" s="35" t="s">
        <v>573</v>
      </c>
      <c r="E7" s="35" t="s">
        <v>573</v>
      </c>
      <c r="F7" s="35" t="s">
        <v>574</v>
      </c>
      <c r="G7" s="35" t="s">
        <v>575</v>
      </c>
      <c r="H7" s="35" t="s">
        <v>576</v>
      </c>
      <c r="I7" s="35" t="s">
        <v>577</v>
      </c>
      <c r="J7" s="35" t="s">
        <v>578</v>
      </c>
    </row>
    <row r="8" customFormat="false" ht="23.85" hidden="false" customHeight="false" outlineLevel="0" collapsed="false">
      <c r="A8" s="35" t="s">
        <v>552</v>
      </c>
      <c r="B8" s="35"/>
      <c r="C8" s="35" t="s">
        <v>553</v>
      </c>
      <c r="D8" s="35" t="s">
        <v>579</v>
      </c>
      <c r="E8" s="35" t="s">
        <v>580</v>
      </c>
      <c r="F8" s="35" t="s">
        <v>581</v>
      </c>
      <c r="G8" s="35" t="s">
        <v>582</v>
      </c>
      <c r="H8" s="35" t="s">
        <v>583</v>
      </c>
      <c r="I8" s="35" t="s">
        <v>559</v>
      </c>
      <c r="J8" s="35" t="s">
        <v>584</v>
      </c>
    </row>
    <row r="9" customFormat="false" ht="23.85" hidden="false" customHeight="false" outlineLevel="0" collapsed="false">
      <c r="A9" s="35" t="s">
        <v>552</v>
      </c>
      <c r="B9" s="35"/>
      <c r="C9" s="35" t="s">
        <v>553</v>
      </c>
      <c r="D9" s="35" t="s">
        <v>585</v>
      </c>
      <c r="E9" s="35" t="s">
        <v>586</v>
      </c>
      <c r="F9" s="35" t="s">
        <v>587</v>
      </c>
      <c r="G9" s="35" t="s">
        <v>588</v>
      </c>
      <c r="H9" s="35" t="s">
        <v>589</v>
      </c>
      <c r="I9" s="35" t="s">
        <v>590</v>
      </c>
      <c r="J9" s="35" t="s">
        <v>591</v>
      </c>
    </row>
    <row r="10" customFormat="false" ht="15" hidden="false" customHeight="false" outlineLevel="0" collapsed="false">
      <c r="A10" s="36"/>
      <c r="B10" s="36"/>
      <c r="C10" s="36"/>
      <c r="D10" s="36"/>
      <c r="E10" s="36"/>
      <c r="F10" s="36"/>
      <c r="G10" s="36"/>
      <c r="H10" s="36"/>
      <c r="I10" s="36"/>
      <c r="J10" s="36"/>
    </row>
    <row r="11" customFormat="false" ht="23.85" hidden="false" customHeight="false" outlineLevel="0" collapsed="false">
      <c r="A11" s="36" t="s">
        <v>56</v>
      </c>
      <c r="B11" s="36" t="n">
        <v>1</v>
      </c>
      <c r="C11" s="36" t="s">
        <v>30</v>
      </c>
      <c r="D11" s="36" t="s">
        <v>592</v>
      </c>
      <c r="E11" s="36" t="s">
        <v>593</v>
      </c>
      <c r="F11" s="36" t="s">
        <v>594</v>
      </c>
      <c r="G11" s="36" t="s">
        <v>595</v>
      </c>
      <c r="H11" s="36" t="s">
        <v>596</v>
      </c>
      <c r="I11" s="36" t="s">
        <v>597</v>
      </c>
      <c r="J11" s="36" t="s">
        <v>65</v>
      </c>
    </row>
    <row r="12" customFormat="false" ht="23.85" hidden="false" customHeight="false" outlineLevel="0" collapsed="false">
      <c r="A12" s="36" t="s">
        <v>56</v>
      </c>
      <c r="B12" s="36" t="n">
        <v>2</v>
      </c>
      <c r="C12" s="36" t="s">
        <v>30</v>
      </c>
      <c r="D12" s="36" t="s">
        <v>592</v>
      </c>
      <c r="E12" s="36" t="s">
        <v>598</v>
      </c>
      <c r="F12" s="36" t="s">
        <v>599</v>
      </c>
      <c r="G12" s="36" t="s">
        <v>600</v>
      </c>
      <c r="H12" s="36" t="s">
        <v>596</v>
      </c>
      <c r="I12" s="36" t="s">
        <v>601</v>
      </c>
      <c r="J12" s="36" t="s">
        <v>71</v>
      </c>
    </row>
    <row r="13" customFormat="false" ht="23.85" hidden="false" customHeight="false" outlineLevel="0" collapsed="false">
      <c r="A13" s="36" t="s">
        <v>56</v>
      </c>
      <c r="B13" s="36" t="n">
        <v>3</v>
      </c>
      <c r="C13" s="36" t="s">
        <v>30</v>
      </c>
      <c r="D13" s="36" t="s">
        <v>592</v>
      </c>
      <c r="E13" s="36" t="s">
        <v>602</v>
      </c>
      <c r="F13" s="36" t="s">
        <v>603</v>
      </c>
      <c r="G13" s="36" t="s">
        <v>604</v>
      </c>
      <c r="H13" s="36" t="s">
        <v>596</v>
      </c>
      <c r="I13" s="36" t="s">
        <v>605</v>
      </c>
      <c r="J13" s="36" t="s">
        <v>75</v>
      </c>
    </row>
    <row r="14" customFormat="false" ht="23.85" hidden="false" customHeight="false" outlineLevel="0" collapsed="false">
      <c r="A14" s="36" t="s">
        <v>56</v>
      </c>
      <c r="B14" s="36" t="n">
        <v>4</v>
      </c>
      <c r="C14" s="36" t="s">
        <v>30</v>
      </c>
      <c r="D14" s="36" t="s">
        <v>592</v>
      </c>
      <c r="E14" s="36" t="s">
        <v>606</v>
      </c>
      <c r="F14" s="36" t="s">
        <v>607</v>
      </c>
      <c r="G14" s="36" t="s">
        <v>608</v>
      </c>
      <c r="H14" s="36" t="s">
        <v>596</v>
      </c>
      <c r="I14" s="36" t="s">
        <v>609</v>
      </c>
      <c r="J14" s="36" t="s">
        <v>81</v>
      </c>
    </row>
    <row r="15" customFormat="false" ht="23.85" hidden="false" customHeight="false" outlineLevel="0" collapsed="false">
      <c r="A15" s="36" t="s">
        <v>56</v>
      </c>
      <c r="B15" s="36" t="n">
        <v>5</v>
      </c>
      <c r="C15" s="36" t="s">
        <v>30</v>
      </c>
      <c r="D15" s="36" t="s">
        <v>592</v>
      </c>
      <c r="E15" s="36" t="s">
        <v>610</v>
      </c>
      <c r="F15" s="36" t="s">
        <v>611</v>
      </c>
      <c r="G15" s="36" t="s">
        <v>612</v>
      </c>
      <c r="H15" s="36" t="s">
        <v>613</v>
      </c>
      <c r="I15" s="36" t="s">
        <v>614</v>
      </c>
      <c r="J15" s="36" t="s">
        <v>85</v>
      </c>
    </row>
    <row r="16" customFormat="false" ht="23.85" hidden="false" customHeight="false" outlineLevel="0" collapsed="false">
      <c r="A16" s="36" t="s">
        <v>56</v>
      </c>
      <c r="B16" s="36" t="n">
        <v>6</v>
      </c>
      <c r="C16" s="36" t="s">
        <v>34</v>
      </c>
      <c r="D16" s="36" t="s">
        <v>615</v>
      </c>
      <c r="E16" s="36" t="s">
        <v>616</v>
      </c>
      <c r="F16" s="36" t="s">
        <v>617</v>
      </c>
      <c r="G16" s="36" t="s">
        <v>618</v>
      </c>
      <c r="H16" s="36" t="s">
        <v>596</v>
      </c>
      <c r="I16" s="36" t="s">
        <v>619</v>
      </c>
      <c r="J16" s="36" t="s">
        <v>89</v>
      </c>
    </row>
    <row r="17" customFormat="false" ht="23.85" hidden="false" customHeight="false" outlineLevel="0" collapsed="false">
      <c r="A17" s="36" t="s">
        <v>56</v>
      </c>
      <c r="B17" s="36" t="n">
        <v>7</v>
      </c>
      <c r="C17" s="36" t="s">
        <v>34</v>
      </c>
      <c r="D17" s="36" t="s">
        <v>615</v>
      </c>
      <c r="E17" s="36" t="s">
        <v>620</v>
      </c>
      <c r="F17" s="36" t="s">
        <v>621</v>
      </c>
      <c r="G17" s="36" t="s">
        <v>622</v>
      </c>
      <c r="H17" s="36" t="s">
        <v>596</v>
      </c>
      <c r="I17" s="36" t="s">
        <v>623</v>
      </c>
      <c r="J17" s="36" t="s">
        <v>95</v>
      </c>
    </row>
    <row r="18" customFormat="false" ht="23.85" hidden="false" customHeight="false" outlineLevel="0" collapsed="false">
      <c r="A18" s="36" t="s">
        <v>56</v>
      </c>
      <c r="B18" s="36" t="n">
        <v>8</v>
      </c>
      <c r="C18" s="36" t="s">
        <v>34</v>
      </c>
      <c r="D18" s="36" t="s">
        <v>615</v>
      </c>
      <c r="E18" s="36" t="s">
        <v>624</v>
      </c>
      <c r="F18" s="36" t="s">
        <v>625</v>
      </c>
      <c r="G18" s="36" t="s">
        <v>626</v>
      </c>
      <c r="H18" s="36" t="s">
        <v>596</v>
      </c>
      <c r="I18" s="36" t="s">
        <v>627</v>
      </c>
      <c r="J18" s="36" t="s">
        <v>99</v>
      </c>
    </row>
    <row r="19" customFormat="false" ht="23.85" hidden="false" customHeight="false" outlineLevel="0" collapsed="false">
      <c r="A19" s="36" t="s">
        <v>56</v>
      </c>
      <c r="B19" s="36" t="n">
        <v>9</v>
      </c>
      <c r="C19" s="36" t="s">
        <v>34</v>
      </c>
      <c r="D19" s="36" t="s">
        <v>615</v>
      </c>
      <c r="E19" s="36" t="s">
        <v>628</v>
      </c>
      <c r="F19" s="36" t="s">
        <v>629</v>
      </c>
      <c r="G19" s="36" t="s">
        <v>630</v>
      </c>
      <c r="H19" s="36" t="s">
        <v>596</v>
      </c>
      <c r="I19" s="36" t="s">
        <v>631</v>
      </c>
      <c r="J19" s="36" t="s">
        <v>102</v>
      </c>
    </row>
    <row r="20" customFormat="false" ht="23.85" hidden="false" customHeight="false" outlineLevel="0" collapsed="false">
      <c r="A20" s="36" t="s">
        <v>56</v>
      </c>
      <c r="B20" s="36" t="n">
        <v>10</v>
      </c>
      <c r="C20" s="36" t="s">
        <v>34</v>
      </c>
      <c r="D20" s="36" t="s">
        <v>615</v>
      </c>
      <c r="E20" s="36" t="s">
        <v>632</v>
      </c>
      <c r="F20" s="36" t="s">
        <v>633</v>
      </c>
      <c r="G20" s="36" t="s">
        <v>634</v>
      </c>
      <c r="H20" s="36" t="s">
        <v>596</v>
      </c>
      <c r="I20" s="36" t="s">
        <v>635</v>
      </c>
      <c r="J20" s="36" t="s">
        <v>106</v>
      </c>
    </row>
    <row r="21" customFormat="false" ht="23.85" hidden="false" customHeight="false" outlineLevel="0" collapsed="false">
      <c r="A21" s="36" t="s">
        <v>56</v>
      </c>
      <c r="B21" s="36" t="n">
        <v>11</v>
      </c>
      <c r="C21" s="36" t="s">
        <v>34</v>
      </c>
      <c r="D21" s="36" t="s">
        <v>615</v>
      </c>
      <c r="E21" s="36" t="s">
        <v>636</v>
      </c>
      <c r="F21" s="36" t="s">
        <v>637</v>
      </c>
      <c r="G21" s="36" t="s">
        <v>638</v>
      </c>
      <c r="H21" s="36" t="s">
        <v>639</v>
      </c>
      <c r="I21" s="36" t="s">
        <v>640</v>
      </c>
      <c r="J21" s="36" t="s">
        <v>110</v>
      </c>
    </row>
    <row r="22" customFormat="false" ht="23.85" hidden="false" customHeight="false" outlineLevel="0" collapsed="false">
      <c r="A22" s="36" t="s">
        <v>56</v>
      </c>
      <c r="B22" s="36" t="n">
        <v>12</v>
      </c>
      <c r="C22" s="36" t="s">
        <v>34</v>
      </c>
      <c r="D22" s="36" t="s">
        <v>615</v>
      </c>
      <c r="E22" s="36" t="s">
        <v>641</v>
      </c>
      <c r="F22" s="36" t="s">
        <v>642</v>
      </c>
      <c r="G22" s="36" t="s">
        <v>643</v>
      </c>
      <c r="H22" s="36" t="s">
        <v>639</v>
      </c>
      <c r="I22" s="36" t="s">
        <v>644</v>
      </c>
      <c r="J22" s="36" t="s">
        <v>115</v>
      </c>
    </row>
    <row r="23" customFormat="false" ht="23.85" hidden="false" customHeight="false" outlineLevel="0" collapsed="false">
      <c r="A23" s="36" t="s">
        <v>56</v>
      </c>
      <c r="B23" s="36" t="n">
        <v>13</v>
      </c>
      <c r="C23" s="36" t="s">
        <v>38</v>
      </c>
      <c r="D23" s="36" t="s">
        <v>645</v>
      </c>
      <c r="E23" s="36" t="s">
        <v>646</v>
      </c>
      <c r="F23" s="36" t="s">
        <v>647</v>
      </c>
      <c r="G23" s="36" t="s">
        <v>648</v>
      </c>
      <c r="H23" s="36" t="s">
        <v>649</v>
      </c>
      <c r="I23" s="36" t="s">
        <v>650</v>
      </c>
      <c r="J23" s="36" t="s">
        <v>120</v>
      </c>
    </row>
    <row r="24" customFormat="false" ht="23.85" hidden="false" customHeight="false" outlineLevel="0" collapsed="false">
      <c r="A24" s="36" t="s">
        <v>56</v>
      </c>
      <c r="B24" s="36" t="n">
        <v>14</v>
      </c>
      <c r="C24" s="36" t="s">
        <v>38</v>
      </c>
      <c r="D24" s="36" t="s">
        <v>645</v>
      </c>
      <c r="E24" s="36" t="s">
        <v>651</v>
      </c>
      <c r="F24" s="36" t="s">
        <v>652</v>
      </c>
      <c r="G24" s="36" t="s">
        <v>653</v>
      </c>
      <c r="H24" s="36" t="s">
        <v>596</v>
      </c>
      <c r="I24" s="36" t="s">
        <v>654</v>
      </c>
      <c r="J24" s="36" t="s">
        <v>124</v>
      </c>
    </row>
    <row r="25" customFormat="false" ht="23.85" hidden="false" customHeight="false" outlineLevel="0" collapsed="false">
      <c r="A25" s="36" t="s">
        <v>56</v>
      </c>
      <c r="B25" s="36" t="n">
        <v>15</v>
      </c>
      <c r="C25" s="36" t="s">
        <v>38</v>
      </c>
      <c r="D25" s="36" t="s">
        <v>645</v>
      </c>
      <c r="E25" s="36" t="s">
        <v>655</v>
      </c>
      <c r="F25" s="36" t="s">
        <v>656</v>
      </c>
      <c r="G25" s="36" t="s">
        <v>657</v>
      </c>
      <c r="H25" s="36" t="s">
        <v>596</v>
      </c>
      <c r="I25" s="36" t="s">
        <v>658</v>
      </c>
      <c r="J25" s="36" t="s">
        <v>129</v>
      </c>
    </row>
    <row r="26" customFormat="false" ht="23.85" hidden="false" customHeight="false" outlineLevel="0" collapsed="false">
      <c r="A26" s="36" t="s">
        <v>56</v>
      </c>
      <c r="B26" s="36" t="n">
        <v>16</v>
      </c>
      <c r="C26" s="36" t="s">
        <v>38</v>
      </c>
      <c r="D26" s="36" t="s">
        <v>645</v>
      </c>
      <c r="E26" s="36" t="s">
        <v>659</v>
      </c>
      <c r="F26" s="36" t="s">
        <v>660</v>
      </c>
      <c r="G26" s="36" t="s">
        <v>661</v>
      </c>
      <c r="H26" s="36" t="s">
        <v>639</v>
      </c>
      <c r="I26" s="36" t="s">
        <v>662</v>
      </c>
      <c r="J26" s="36" t="s">
        <v>133</v>
      </c>
    </row>
    <row r="27" customFormat="false" ht="23.85" hidden="false" customHeight="false" outlineLevel="0" collapsed="false">
      <c r="A27" s="36" t="s">
        <v>56</v>
      </c>
      <c r="B27" s="36" t="n">
        <v>17</v>
      </c>
      <c r="C27" s="36" t="s">
        <v>38</v>
      </c>
      <c r="D27" s="36" t="s">
        <v>645</v>
      </c>
      <c r="E27" s="36" t="s">
        <v>663</v>
      </c>
      <c r="F27" s="36" t="s">
        <v>664</v>
      </c>
      <c r="G27" s="36" t="s">
        <v>665</v>
      </c>
      <c r="H27" s="36" t="s">
        <v>639</v>
      </c>
      <c r="I27" s="36" t="s">
        <v>666</v>
      </c>
      <c r="J27" s="36" t="s">
        <v>138</v>
      </c>
    </row>
    <row r="28" customFormat="false" ht="23.85" hidden="false" customHeight="false" outlineLevel="0" collapsed="false">
      <c r="A28" s="36" t="s">
        <v>56</v>
      </c>
      <c r="B28" s="36" t="n">
        <v>18</v>
      </c>
      <c r="C28" s="36" t="s">
        <v>38</v>
      </c>
      <c r="D28" s="36" t="s">
        <v>645</v>
      </c>
      <c r="E28" s="36" t="s">
        <v>667</v>
      </c>
      <c r="F28" s="36" t="s">
        <v>668</v>
      </c>
      <c r="G28" s="36" t="s">
        <v>669</v>
      </c>
      <c r="H28" s="36" t="s">
        <v>649</v>
      </c>
      <c r="I28" s="36" t="s">
        <v>670</v>
      </c>
      <c r="J28" s="36" t="s">
        <v>142</v>
      </c>
    </row>
    <row r="29" customFormat="false" ht="23.85" hidden="false" customHeight="false" outlineLevel="0" collapsed="false">
      <c r="A29" s="36" t="s">
        <v>56</v>
      </c>
      <c r="B29" s="36" t="n">
        <v>19</v>
      </c>
      <c r="C29" s="36" t="s">
        <v>38</v>
      </c>
      <c r="D29" s="36" t="s">
        <v>645</v>
      </c>
      <c r="E29" s="36" t="s">
        <v>671</v>
      </c>
      <c r="F29" s="36" t="s">
        <v>672</v>
      </c>
      <c r="G29" s="36" t="s">
        <v>673</v>
      </c>
      <c r="H29" s="36" t="s">
        <v>649</v>
      </c>
      <c r="I29" s="36" t="s">
        <v>674</v>
      </c>
      <c r="J29" s="36" t="s">
        <v>147</v>
      </c>
    </row>
    <row r="30" customFormat="false" ht="23.85" hidden="false" customHeight="false" outlineLevel="0" collapsed="false">
      <c r="A30" s="36" t="s">
        <v>56</v>
      </c>
      <c r="B30" s="36" t="n">
        <v>20</v>
      </c>
      <c r="C30" s="36" t="s">
        <v>38</v>
      </c>
      <c r="D30" s="36" t="s">
        <v>645</v>
      </c>
      <c r="E30" s="36" t="s">
        <v>675</v>
      </c>
      <c r="F30" s="36" t="s">
        <v>676</v>
      </c>
      <c r="G30" s="36" t="s">
        <v>677</v>
      </c>
      <c r="H30" s="36" t="s">
        <v>596</v>
      </c>
      <c r="I30" s="36" t="s">
        <v>678</v>
      </c>
      <c r="J30" s="36" t="s">
        <v>150</v>
      </c>
    </row>
    <row r="31" customFormat="false" ht="23.85" hidden="false" customHeight="false" outlineLevel="0" collapsed="false">
      <c r="A31" s="36" t="s">
        <v>56</v>
      </c>
      <c r="B31" s="36" t="n">
        <v>21</v>
      </c>
      <c r="C31" s="36" t="s">
        <v>38</v>
      </c>
      <c r="D31" s="36" t="s">
        <v>645</v>
      </c>
      <c r="E31" s="36" t="s">
        <v>679</v>
      </c>
      <c r="F31" s="36" t="s">
        <v>680</v>
      </c>
      <c r="G31" s="36" t="s">
        <v>681</v>
      </c>
      <c r="H31" s="36" t="s">
        <v>596</v>
      </c>
      <c r="I31" s="36" t="s">
        <v>682</v>
      </c>
      <c r="J31" s="36" t="s">
        <v>156</v>
      </c>
    </row>
    <row r="32" customFormat="false" ht="23.85" hidden="false" customHeight="false" outlineLevel="0" collapsed="false">
      <c r="A32" s="36" t="s">
        <v>56</v>
      </c>
      <c r="B32" s="36" t="n">
        <v>22</v>
      </c>
      <c r="C32" s="36" t="s">
        <v>38</v>
      </c>
      <c r="D32" s="36" t="s">
        <v>645</v>
      </c>
      <c r="E32" s="36" t="s">
        <v>683</v>
      </c>
      <c r="F32" s="36" t="s">
        <v>684</v>
      </c>
      <c r="G32" s="36" t="s">
        <v>685</v>
      </c>
      <c r="H32" s="36" t="s">
        <v>639</v>
      </c>
      <c r="I32" s="36" t="s">
        <v>686</v>
      </c>
      <c r="J32" s="36" t="s">
        <v>160</v>
      </c>
    </row>
    <row r="33" customFormat="false" ht="23.85" hidden="false" customHeight="false" outlineLevel="0" collapsed="false">
      <c r="A33" s="36" t="s">
        <v>56</v>
      </c>
      <c r="B33" s="36" t="n">
        <v>23</v>
      </c>
      <c r="C33" s="36" t="s">
        <v>38</v>
      </c>
      <c r="D33" s="36" t="s">
        <v>645</v>
      </c>
      <c r="E33" s="36" t="s">
        <v>687</v>
      </c>
      <c r="F33" s="36" t="s">
        <v>688</v>
      </c>
      <c r="G33" s="36" t="s">
        <v>689</v>
      </c>
      <c r="H33" s="36" t="s">
        <v>639</v>
      </c>
      <c r="I33" s="36" t="s">
        <v>690</v>
      </c>
      <c r="J33" s="36" t="s">
        <v>166</v>
      </c>
    </row>
    <row r="34" customFormat="false" ht="23.85" hidden="false" customHeight="false" outlineLevel="0" collapsed="false">
      <c r="A34" s="36" t="s">
        <v>56</v>
      </c>
      <c r="B34" s="36" t="n">
        <v>24</v>
      </c>
      <c r="C34" s="36" t="s">
        <v>38</v>
      </c>
      <c r="D34" s="36" t="s">
        <v>645</v>
      </c>
      <c r="E34" s="36" t="s">
        <v>691</v>
      </c>
      <c r="F34" s="36" t="s">
        <v>692</v>
      </c>
      <c r="G34" s="36" t="s">
        <v>693</v>
      </c>
      <c r="H34" s="36" t="s">
        <v>649</v>
      </c>
      <c r="I34" s="36" t="s">
        <v>694</v>
      </c>
      <c r="J34" s="36" t="s">
        <v>169</v>
      </c>
    </row>
    <row r="35" customFormat="false" ht="23.85" hidden="false" customHeight="false" outlineLevel="0" collapsed="false">
      <c r="A35" s="36" t="s">
        <v>56</v>
      </c>
      <c r="B35" s="36" t="n">
        <v>25</v>
      </c>
      <c r="C35" s="36" t="s">
        <v>38</v>
      </c>
      <c r="D35" s="36" t="s">
        <v>645</v>
      </c>
      <c r="E35" s="36" t="s">
        <v>695</v>
      </c>
      <c r="F35" s="36" t="s">
        <v>696</v>
      </c>
      <c r="G35" s="36" t="s">
        <v>697</v>
      </c>
      <c r="H35" s="36" t="s">
        <v>649</v>
      </c>
      <c r="I35" s="36" t="s">
        <v>698</v>
      </c>
      <c r="J35" s="36" t="s">
        <v>174</v>
      </c>
    </row>
    <row r="36" customFormat="false" ht="23.85" hidden="false" customHeight="false" outlineLevel="0" collapsed="false">
      <c r="A36" s="36" t="s">
        <v>56</v>
      </c>
      <c r="B36" s="36" t="n">
        <v>26</v>
      </c>
      <c r="C36" s="36" t="s">
        <v>38</v>
      </c>
      <c r="D36" s="36" t="s">
        <v>645</v>
      </c>
      <c r="E36" s="36" t="s">
        <v>699</v>
      </c>
      <c r="F36" s="36" t="s">
        <v>700</v>
      </c>
      <c r="G36" s="36" t="s">
        <v>701</v>
      </c>
      <c r="H36" s="36" t="s">
        <v>639</v>
      </c>
      <c r="I36" s="36" t="s">
        <v>702</v>
      </c>
      <c r="J36" s="36" t="s">
        <v>179</v>
      </c>
    </row>
    <row r="37" customFormat="false" ht="23.85" hidden="false" customHeight="false" outlineLevel="0" collapsed="false">
      <c r="A37" s="36" t="s">
        <v>56</v>
      </c>
      <c r="B37" s="36" t="n">
        <v>27</v>
      </c>
      <c r="C37" s="36" t="s">
        <v>38</v>
      </c>
      <c r="D37" s="36" t="s">
        <v>645</v>
      </c>
      <c r="E37" s="36" t="s">
        <v>703</v>
      </c>
      <c r="F37" s="36" t="s">
        <v>704</v>
      </c>
      <c r="G37" s="36" t="s">
        <v>705</v>
      </c>
      <c r="H37" s="36" t="s">
        <v>639</v>
      </c>
      <c r="I37" s="36" t="s">
        <v>706</v>
      </c>
      <c r="J37" s="36" t="s">
        <v>183</v>
      </c>
    </row>
    <row r="38" customFormat="false" ht="23.85" hidden="false" customHeight="false" outlineLevel="0" collapsed="false">
      <c r="A38" s="36" t="s">
        <v>56</v>
      </c>
      <c r="B38" s="36" t="n">
        <v>28</v>
      </c>
      <c r="C38" s="36" t="s">
        <v>42</v>
      </c>
      <c r="D38" s="36" t="s">
        <v>707</v>
      </c>
      <c r="E38" s="36" t="s">
        <v>708</v>
      </c>
      <c r="F38" s="36" t="s">
        <v>709</v>
      </c>
      <c r="G38" s="36" t="s">
        <v>710</v>
      </c>
      <c r="H38" s="36" t="s">
        <v>596</v>
      </c>
      <c r="I38" s="36" t="s">
        <v>711</v>
      </c>
      <c r="J38" s="36" t="s">
        <v>187</v>
      </c>
    </row>
    <row r="39" customFormat="false" ht="23.85" hidden="false" customHeight="false" outlineLevel="0" collapsed="false">
      <c r="A39" s="36" t="s">
        <v>56</v>
      </c>
      <c r="B39" s="36" t="n">
        <v>29</v>
      </c>
      <c r="C39" s="36" t="s">
        <v>42</v>
      </c>
      <c r="D39" s="36" t="s">
        <v>707</v>
      </c>
      <c r="E39" s="36" t="s">
        <v>712</v>
      </c>
      <c r="F39" s="36" t="s">
        <v>713</v>
      </c>
      <c r="G39" s="36" t="s">
        <v>714</v>
      </c>
      <c r="H39" s="36" t="s">
        <v>596</v>
      </c>
      <c r="I39" s="36" t="s">
        <v>715</v>
      </c>
      <c r="J39" s="36" t="s">
        <v>192</v>
      </c>
    </row>
    <row r="40" customFormat="false" ht="23.85" hidden="false" customHeight="false" outlineLevel="0" collapsed="false">
      <c r="A40" s="36" t="s">
        <v>56</v>
      </c>
      <c r="B40" s="36" t="n">
        <v>30</v>
      </c>
      <c r="C40" s="36" t="s">
        <v>42</v>
      </c>
      <c r="D40" s="36" t="s">
        <v>707</v>
      </c>
      <c r="E40" s="36" t="s">
        <v>716</v>
      </c>
      <c r="F40" s="36" t="s">
        <v>717</v>
      </c>
      <c r="G40" s="36" t="s">
        <v>718</v>
      </c>
      <c r="H40" s="36" t="s">
        <v>613</v>
      </c>
      <c r="I40" s="36" t="s">
        <v>719</v>
      </c>
      <c r="J40" s="36" t="s">
        <v>198</v>
      </c>
    </row>
    <row r="41" customFormat="false" ht="23.85" hidden="false" customHeight="false" outlineLevel="0" collapsed="false">
      <c r="A41" s="36" t="s">
        <v>56</v>
      </c>
      <c r="B41" s="36" t="n">
        <v>31</v>
      </c>
      <c r="C41" s="36" t="s">
        <v>42</v>
      </c>
      <c r="D41" s="36" t="s">
        <v>707</v>
      </c>
      <c r="E41" s="36" t="s">
        <v>720</v>
      </c>
      <c r="F41" s="36" t="s">
        <v>721</v>
      </c>
      <c r="G41" s="36" t="s">
        <v>722</v>
      </c>
      <c r="H41" s="36" t="s">
        <v>596</v>
      </c>
      <c r="I41" s="36" t="s">
        <v>723</v>
      </c>
      <c r="J41" s="36" t="s">
        <v>202</v>
      </c>
    </row>
    <row r="42" customFormat="false" ht="23.85" hidden="false" customHeight="false" outlineLevel="0" collapsed="false">
      <c r="A42" s="36" t="s">
        <v>56</v>
      </c>
      <c r="B42" s="36" t="n">
        <v>32</v>
      </c>
      <c r="C42" s="36" t="s">
        <v>46</v>
      </c>
      <c r="D42" s="36" t="s">
        <v>724</v>
      </c>
      <c r="E42" s="36" t="s">
        <v>725</v>
      </c>
      <c r="F42" s="36" t="s">
        <v>726</v>
      </c>
      <c r="G42" s="36" t="s">
        <v>727</v>
      </c>
      <c r="H42" s="36" t="s">
        <v>596</v>
      </c>
      <c r="I42" s="36" t="s">
        <v>728</v>
      </c>
      <c r="J42" s="36" t="s">
        <v>206</v>
      </c>
    </row>
  </sheetData>
  <autoFilter ref="A3:J42"/>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6" min="6" style="0" width="56"/>
    <col collapsed="false" customWidth="true" hidden="false" outlineLevel="0" max="7" min="7" style="0" width="38"/>
  </cols>
  <sheetData>
    <row r="1" customFormat="false" ht="24" hidden="false" customHeight="true" outlineLevel="0" collapsed="false">
      <c r="A1" s="21" t="s">
        <v>729</v>
      </c>
      <c r="B1" s="21"/>
      <c r="C1" s="21"/>
      <c r="D1" s="21"/>
      <c r="E1" s="21"/>
      <c r="F1" s="21"/>
      <c r="G1" s="21"/>
    </row>
    <row r="2" customFormat="false" ht="31.5" hidden="false" customHeight="true" outlineLevel="0" collapsed="false">
      <c r="A2" s="22" t="s">
        <v>23</v>
      </c>
      <c r="B2" s="22" t="s">
        <v>730</v>
      </c>
      <c r="C2" s="22" t="s">
        <v>731</v>
      </c>
      <c r="D2" s="22" t="s">
        <v>732</v>
      </c>
      <c r="E2" s="22" t="s">
        <v>5</v>
      </c>
      <c r="F2" s="22" t="s">
        <v>733</v>
      </c>
      <c r="G2" s="22" t="s">
        <v>734</v>
      </c>
    </row>
    <row r="3" customFormat="false" ht="23.85" hidden="false" customHeight="false" outlineLevel="0" collapsed="false">
      <c r="A3" s="23" t="s">
        <v>30</v>
      </c>
      <c r="B3" s="15" t="s">
        <v>735</v>
      </c>
      <c r="C3" s="5" t="n">
        <v>10.2</v>
      </c>
      <c r="D3" s="5" t="n">
        <v>8</v>
      </c>
      <c r="E3" s="5" t="n">
        <f aca="false">C3+D3</f>
        <v>18.2</v>
      </c>
      <c r="F3" s="15" t="s">
        <v>67</v>
      </c>
      <c r="G3" s="15" t="s">
        <v>736</v>
      </c>
    </row>
    <row r="4" customFormat="false" ht="23.85" hidden="false" customHeight="false" outlineLevel="0" collapsed="false">
      <c r="A4" s="23" t="s">
        <v>30</v>
      </c>
      <c r="B4" s="15" t="s">
        <v>737</v>
      </c>
      <c r="C4" s="5" t="n">
        <v>13.7</v>
      </c>
      <c r="D4" s="5" t="n">
        <v>8</v>
      </c>
      <c r="E4" s="5" t="n">
        <f aca="false">C4+D4</f>
        <v>21.7</v>
      </c>
      <c r="F4" s="15" t="s">
        <v>77</v>
      </c>
      <c r="G4" s="15" t="s">
        <v>738</v>
      </c>
    </row>
    <row r="5" customFormat="false" ht="23.85" hidden="false" customHeight="false" outlineLevel="0" collapsed="false">
      <c r="A5" s="23" t="s">
        <v>30</v>
      </c>
      <c r="B5" s="15" t="s">
        <v>86</v>
      </c>
      <c r="C5" s="5" t="n">
        <v>8</v>
      </c>
      <c r="D5" s="5" t="n">
        <v>3</v>
      </c>
      <c r="E5" s="5" t="n">
        <f aca="false">C5+D5</f>
        <v>11</v>
      </c>
      <c r="F5" s="15" t="s">
        <v>78</v>
      </c>
      <c r="G5" s="15" t="s">
        <v>739</v>
      </c>
    </row>
    <row r="6" customFormat="false" ht="15" hidden="false" customHeight="false" outlineLevel="0" collapsed="false">
      <c r="A6" s="23" t="s">
        <v>30</v>
      </c>
      <c r="B6" s="15" t="s">
        <v>740</v>
      </c>
      <c r="C6" s="5" t="n">
        <v>0</v>
      </c>
      <c r="D6" s="5" t="n">
        <v>5</v>
      </c>
      <c r="E6" s="5" t="n">
        <f aca="false">C6+D6</f>
        <v>5</v>
      </c>
      <c r="F6" s="15"/>
      <c r="G6" s="15" t="s">
        <v>741</v>
      </c>
    </row>
    <row r="7" customFormat="false" ht="23.85" hidden="false" customHeight="false" outlineLevel="0" collapsed="false">
      <c r="A7" s="25" t="s">
        <v>34</v>
      </c>
      <c r="B7" s="15" t="s">
        <v>742</v>
      </c>
      <c r="C7" s="5" t="n">
        <v>70</v>
      </c>
      <c r="D7" s="5" t="n">
        <v>0</v>
      </c>
      <c r="E7" s="5" t="n">
        <f aca="false">C7+D7</f>
        <v>70</v>
      </c>
      <c r="F7" s="15" t="s">
        <v>91</v>
      </c>
      <c r="G7" s="15" t="s">
        <v>743</v>
      </c>
    </row>
    <row r="8" customFormat="false" ht="15" hidden="false" customHeight="false" outlineLevel="0" collapsed="false">
      <c r="A8" s="25" t="s">
        <v>34</v>
      </c>
      <c r="B8" s="15" t="s">
        <v>744</v>
      </c>
      <c r="C8" s="5" t="n">
        <v>0</v>
      </c>
      <c r="D8" s="5" t="n">
        <v>6</v>
      </c>
      <c r="E8" s="5" t="n">
        <f aca="false">C8+D8</f>
        <v>6</v>
      </c>
      <c r="F8" s="15" t="s">
        <v>107</v>
      </c>
      <c r="G8" s="15" t="s">
        <v>745</v>
      </c>
    </row>
    <row r="9" customFormat="false" ht="15" hidden="false" customHeight="false" outlineLevel="0" collapsed="false">
      <c r="A9" s="25" t="s">
        <v>34</v>
      </c>
      <c r="B9" s="15" t="s">
        <v>746</v>
      </c>
      <c r="C9" s="5" t="n">
        <v>0</v>
      </c>
      <c r="D9" s="5" t="n">
        <v>12</v>
      </c>
      <c r="E9" s="5" t="n">
        <f aca="false">C9+D9</f>
        <v>12</v>
      </c>
      <c r="F9" s="15" t="s">
        <v>117</v>
      </c>
      <c r="G9" s="15" t="s">
        <v>747</v>
      </c>
    </row>
    <row r="10" customFormat="false" ht="15" hidden="false" customHeight="false" outlineLevel="0" collapsed="false">
      <c r="A10" s="26" t="s">
        <v>38</v>
      </c>
      <c r="B10" s="15" t="s">
        <v>748</v>
      </c>
      <c r="C10" s="5" t="n">
        <v>170</v>
      </c>
      <c r="D10" s="5" t="n">
        <v>0</v>
      </c>
      <c r="E10" s="5" t="n">
        <f aca="false">C10+D10</f>
        <v>170</v>
      </c>
      <c r="F10" s="15" t="s">
        <v>163</v>
      </c>
      <c r="G10" s="15" t="s">
        <v>749</v>
      </c>
    </row>
    <row r="11" customFormat="false" ht="23.85" hidden="false" customHeight="false" outlineLevel="0" collapsed="false">
      <c r="A11" s="26" t="s">
        <v>38</v>
      </c>
      <c r="B11" s="15" t="s">
        <v>750</v>
      </c>
      <c r="C11" s="5" t="n">
        <v>15.2</v>
      </c>
      <c r="D11" s="5" t="n">
        <v>0</v>
      </c>
      <c r="E11" s="5" t="n">
        <f aca="false">C11+D11</f>
        <v>15.2</v>
      </c>
      <c r="F11" s="15" t="s">
        <v>82</v>
      </c>
      <c r="G11" s="15" t="s">
        <v>751</v>
      </c>
    </row>
    <row r="12" customFormat="false" ht="15" hidden="false" customHeight="false" outlineLevel="0" collapsed="false">
      <c r="A12" s="26" t="s">
        <v>38</v>
      </c>
      <c r="B12" s="15" t="s">
        <v>752</v>
      </c>
      <c r="C12" s="5" t="n">
        <v>0</v>
      </c>
      <c r="D12" s="5" t="n">
        <v>10</v>
      </c>
      <c r="E12" s="5" t="n">
        <f aca="false">C12+D12</f>
        <v>10</v>
      </c>
      <c r="F12" s="15" t="s">
        <v>139</v>
      </c>
      <c r="G12" s="15" t="s">
        <v>753</v>
      </c>
    </row>
    <row r="13" customFormat="false" ht="23.85" hidden="false" customHeight="false" outlineLevel="0" collapsed="false">
      <c r="A13" s="26" t="s">
        <v>38</v>
      </c>
      <c r="B13" s="15" t="s">
        <v>754</v>
      </c>
      <c r="C13" s="5" t="n">
        <v>0</v>
      </c>
      <c r="D13" s="5" t="n">
        <v>8</v>
      </c>
      <c r="E13" s="5" t="n">
        <f aca="false">C13+D13</f>
        <v>8</v>
      </c>
      <c r="F13" s="15"/>
      <c r="G13" s="15" t="s">
        <v>755</v>
      </c>
    </row>
    <row r="14" customFormat="false" ht="23.85" hidden="false" customHeight="false" outlineLevel="0" collapsed="false">
      <c r="A14" s="27" t="s">
        <v>42</v>
      </c>
      <c r="B14" s="15" t="s">
        <v>756</v>
      </c>
      <c r="C14" s="5" t="n">
        <v>0</v>
      </c>
      <c r="D14" s="5" t="n">
        <v>10</v>
      </c>
      <c r="E14" s="5" t="n">
        <f aca="false">C14+D14</f>
        <v>10</v>
      </c>
      <c r="F14" s="15" t="s">
        <v>189</v>
      </c>
      <c r="G14" s="15" t="s">
        <v>757</v>
      </c>
    </row>
    <row r="15" customFormat="false" ht="15" hidden="false" customHeight="false" outlineLevel="0" collapsed="false">
      <c r="A15" s="27" t="s">
        <v>42</v>
      </c>
      <c r="B15" s="15" t="s">
        <v>199</v>
      </c>
      <c r="C15" s="5" t="n">
        <v>0</v>
      </c>
      <c r="D15" s="5" t="n">
        <v>10</v>
      </c>
      <c r="E15" s="5" t="n">
        <f aca="false">C15+D15</f>
        <v>10</v>
      </c>
      <c r="F15" s="15" t="s">
        <v>157</v>
      </c>
      <c r="G15" s="15" t="s">
        <v>758</v>
      </c>
    </row>
    <row r="16" customFormat="false" ht="15" hidden="false" customHeight="false" outlineLevel="0" collapsed="false">
      <c r="A16" s="27" t="s">
        <v>42</v>
      </c>
      <c r="B16" s="15" t="s">
        <v>759</v>
      </c>
      <c r="C16" s="5" t="n">
        <v>0</v>
      </c>
      <c r="D16" s="5" t="n">
        <v>9</v>
      </c>
      <c r="E16" s="5" t="n">
        <f aca="false">C16+D16</f>
        <v>9</v>
      </c>
      <c r="F16" s="15"/>
      <c r="G16" s="15" t="s">
        <v>760</v>
      </c>
    </row>
    <row r="18" customFormat="false" ht="15" hidden="false" customHeight="true" outlineLevel="0" collapsed="false">
      <c r="A18" s="3" t="s">
        <v>761</v>
      </c>
      <c r="B18" s="3"/>
      <c r="C18" s="3"/>
      <c r="D18" s="3"/>
      <c r="E18" s="3"/>
      <c r="F18" s="3"/>
      <c r="G18" s="3"/>
    </row>
    <row r="19" customFormat="false" ht="41.75" hidden="false" customHeight="false" outlineLevel="0" collapsed="false">
      <c r="A19" s="37" t="s">
        <v>762</v>
      </c>
      <c r="B19" s="38" t="n">
        <f aca="false">SUM(C3:C16)</f>
        <v>287.1</v>
      </c>
      <c r="D19" s="39" t="s">
        <v>763</v>
      </c>
    </row>
    <row r="20" customFormat="false" ht="23.85" hidden="false" customHeight="true" outlineLevel="0" collapsed="false">
      <c r="A20" s="37" t="s">
        <v>764</v>
      </c>
      <c r="B20" s="38" t="n">
        <f aca="false">SUM(E3:E16)</f>
        <v>376.1</v>
      </c>
      <c r="D20" s="36" t="s">
        <v>765</v>
      </c>
      <c r="E20" s="36"/>
      <c r="F20" s="36"/>
      <c r="G20" s="36"/>
    </row>
    <row r="21" customFormat="false" ht="23.85" hidden="false" customHeight="false" outlineLevel="0" collapsed="false">
      <c r="A21" s="37" t="s">
        <v>12</v>
      </c>
      <c r="B21" s="40" t="n">
        <v>12.5</v>
      </c>
      <c r="D21" s="36"/>
      <c r="E21" s="36"/>
      <c r="F21" s="36"/>
      <c r="G21" s="36"/>
    </row>
    <row r="22" customFormat="false" ht="23.85" hidden="false" customHeight="false" outlineLevel="0" collapsed="false">
      <c r="A22" s="37" t="s">
        <v>766</v>
      </c>
      <c r="B22" s="40" t="n">
        <v>2.5</v>
      </c>
      <c r="D22" s="36"/>
      <c r="E22" s="36"/>
      <c r="F22" s="36"/>
      <c r="G22" s="36"/>
    </row>
    <row r="23" customFormat="false" ht="23.85" hidden="false" customHeight="false" outlineLevel="0" collapsed="false">
      <c r="A23" s="37" t="s">
        <v>767</v>
      </c>
      <c r="B23" s="38" t="n">
        <f aca="false">B21+B22</f>
        <v>15</v>
      </c>
      <c r="D23" s="36"/>
      <c r="E23" s="36"/>
      <c r="F23" s="36"/>
      <c r="G23" s="36"/>
    </row>
    <row r="24" customFormat="false" ht="23.85" hidden="false" customHeight="false" outlineLevel="0" collapsed="false">
      <c r="A24" s="37" t="s">
        <v>7</v>
      </c>
      <c r="B24" s="38" t="n">
        <f aca="false">ROUNDUP(B20/B21,0)</f>
        <v>31</v>
      </c>
      <c r="D24" s="36"/>
      <c r="E24" s="36"/>
      <c r="F24" s="36"/>
      <c r="G24" s="36"/>
    </row>
    <row r="25" customFormat="false" ht="23.85" hidden="false" customHeight="false" outlineLevel="0" collapsed="false">
      <c r="A25" s="37" t="s">
        <v>768</v>
      </c>
      <c r="B25" s="38" t="n">
        <f aca="false">B24+1</f>
        <v>32</v>
      </c>
    </row>
    <row r="26" customFormat="false" ht="15" hidden="false" customHeight="false" outlineLevel="0" collapsed="false">
      <c r="A26" s="37" t="s">
        <v>769</v>
      </c>
      <c r="B26" s="38" t="n">
        <f aca="false">ROUND(B25/4.345,1)</f>
        <v>7.4</v>
      </c>
    </row>
  </sheetData>
  <mergeCells count="3">
    <mergeCell ref="A1:G1"/>
    <mergeCell ref="A18:G18"/>
    <mergeCell ref="D20:G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44"/>
    <col collapsed="false" customWidth="true" hidden="false" outlineLevel="0" max="4" min="4" style="0" width="12"/>
    <col collapsed="false" customWidth="true" hidden="false" outlineLevel="0" max="5" min="5" style="0" width="60"/>
    <col collapsed="false" customWidth="true" hidden="false" outlineLevel="0" max="6" min="6" style="0" width="42"/>
  </cols>
  <sheetData>
    <row r="1" customFormat="false" ht="24" hidden="false" customHeight="true" outlineLevel="0" collapsed="false">
      <c r="A1" s="21" t="s">
        <v>568</v>
      </c>
      <c r="B1" s="21"/>
      <c r="C1" s="21"/>
      <c r="D1" s="21"/>
      <c r="E1" s="21"/>
      <c r="F1" s="21"/>
    </row>
    <row r="2" customFormat="false" ht="31.5" hidden="false" customHeight="true" outlineLevel="0" collapsed="false">
      <c r="A2" s="22" t="s">
        <v>770</v>
      </c>
      <c r="B2" s="22" t="s">
        <v>771</v>
      </c>
      <c r="C2" s="22" t="s">
        <v>772</v>
      </c>
      <c r="D2" s="22" t="s">
        <v>773</v>
      </c>
      <c r="E2" s="22" t="s">
        <v>774</v>
      </c>
      <c r="F2" s="22" t="s">
        <v>734</v>
      </c>
    </row>
    <row r="3" customFormat="false" ht="15" hidden="false" customHeight="false" outlineLevel="0" collapsed="false">
      <c r="A3" s="23" t="s">
        <v>30</v>
      </c>
      <c r="B3" s="41" t="s">
        <v>735</v>
      </c>
      <c r="C3" s="15" t="s">
        <v>775</v>
      </c>
      <c r="D3" s="10" t="s">
        <v>776</v>
      </c>
      <c r="E3" s="24" t="s">
        <v>67</v>
      </c>
      <c r="F3" s="15" t="s">
        <v>777</v>
      </c>
    </row>
    <row r="4" customFormat="false" ht="15" hidden="false" customHeight="false" outlineLevel="0" collapsed="false">
      <c r="A4" s="23" t="s">
        <v>30</v>
      </c>
      <c r="B4" s="41" t="s">
        <v>737</v>
      </c>
      <c r="C4" s="15" t="s">
        <v>778</v>
      </c>
      <c r="D4" s="10" t="s">
        <v>779</v>
      </c>
      <c r="E4" s="24" t="s">
        <v>77</v>
      </c>
      <c r="F4" s="15" t="s">
        <v>780</v>
      </c>
    </row>
    <row r="5" customFormat="false" ht="15" hidden="false" customHeight="false" outlineLevel="0" collapsed="false">
      <c r="A5" s="23" t="s">
        <v>30</v>
      </c>
      <c r="B5" s="41" t="s">
        <v>280</v>
      </c>
      <c r="C5" s="15" t="s">
        <v>781</v>
      </c>
      <c r="D5" s="10" t="s">
        <v>782</v>
      </c>
      <c r="E5" s="24" t="s">
        <v>78</v>
      </c>
      <c r="F5" s="15" t="s">
        <v>783</v>
      </c>
    </row>
    <row r="6" customFormat="false" ht="15" hidden="false" customHeight="false" outlineLevel="0" collapsed="false">
      <c r="A6" s="23" t="s">
        <v>30</v>
      </c>
      <c r="B6" s="41" t="s">
        <v>269</v>
      </c>
      <c r="C6" s="15" t="s">
        <v>784</v>
      </c>
      <c r="D6" s="10" t="s">
        <v>785</v>
      </c>
      <c r="E6" s="24" t="s">
        <v>72</v>
      </c>
      <c r="F6" s="15" t="s">
        <v>786</v>
      </c>
    </row>
    <row r="7" customFormat="false" ht="15" hidden="false" customHeight="false" outlineLevel="0" collapsed="false">
      <c r="A7" s="23" t="s">
        <v>30</v>
      </c>
      <c r="B7" s="41" t="s">
        <v>787</v>
      </c>
      <c r="C7" s="15" t="s">
        <v>788</v>
      </c>
      <c r="D7" s="10" t="s">
        <v>789</v>
      </c>
      <c r="E7" s="24" t="s">
        <v>68</v>
      </c>
      <c r="F7" s="15" t="s">
        <v>790</v>
      </c>
    </row>
    <row r="8" customFormat="false" ht="23.85" hidden="false" customHeight="false" outlineLevel="0" collapsed="false">
      <c r="A8" s="25" t="s">
        <v>34</v>
      </c>
      <c r="B8" s="41" t="s">
        <v>90</v>
      </c>
      <c r="C8" s="15" t="s">
        <v>791</v>
      </c>
      <c r="D8" s="10" t="s">
        <v>792</v>
      </c>
      <c r="E8" s="24" t="s">
        <v>91</v>
      </c>
      <c r="F8" s="15" t="s">
        <v>793</v>
      </c>
    </row>
    <row r="9" customFormat="false" ht="15" hidden="false" customHeight="false" outlineLevel="0" collapsed="false">
      <c r="A9" s="25" t="s">
        <v>34</v>
      </c>
      <c r="B9" s="41" t="s">
        <v>794</v>
      </c>
      <c r="C9" s="15" t="s">
        <v>795</v>
      </c>
      <c r="D9" s="10" t="s">
        <v>796</v>
      </c>
      <c r="E9" s="24" t="s">
        <v>92</v>
      </c>
      <c r="F9" s="15" t="s">
        <v>797</v>
      </c>
    </row>
    <row r="10" customFormat="false" ht="15" hidden="false" customHeight="false" outlineLevel="0" collapsed="false">
      <c r="A10" s="25" t="s">
        <v>34</v>
      </c>
      <c r="B10" s="41" t="s">
        <v>111</v>
      </c>
      <c r="C10" s="15" t="s">
        <v>798</v>
      </c>
      <c r="D10" s="10" t="s">
        <v>799</v>
      </c>
      <c r="E10" s="24" t="s">
        <v>107</v>
      </c>
      <c r="F10" s="15" t="s">
        <v>800</v>
      </c>
    </row>
    <row r="11" customFormat="false" ht="15" hidden="false" customHeight="false" outlineLevel="0" collapsed="false">
      <c r="A11" s="25" t="s">
        <v>34</v>
      </c>
      <c r="B11" s="41" t="s">
        <v>801</v>
      </c>
      <c r="C11" s="15" t="s">
        <v>802</v>
      </c>
      <c r="D11" s="10" t="s">
        <v>803</v>
      </c>
      <c r="E11" s="24" t="s">
        <v>112</v>
      </c>
      <c r="F11" s="15" t="s">
        <v>804</v>
      </c>
    </row>
    <row r="12" customFormat="false" ht="15" hidden="false" customHeight="false" outlineLevel="0" collapsed="false">
      <c r="A12" s="12" t="s">
        <v>222</v>
      </c>
      <c r="B12" s="41" t="s">
        <v>116</v>
      </c>
      <c r="C12" s="15" t="s">
        <v>805</v>
      </c>
      <c r="D12" s="10" t="s">
        <v>806</v>
      </c>
      <c r="E12" s="24" t="s">
        <v>117</v>
      </c>
      <c r="F12" s="15" t="s">
        <v>807</v>
      </c>
    </row>
    <row r="13" customFormat="false" ht="23.85" hidden="false" customHeight="false" outlineLevel="0" collapsed="false">
      <c r="A13" s="26" t="s">
        <v>38</v>
      </c>
      <c r="B13" s="41" t="s">
        <v>748</v>
      </c>
      <c r="C13" s="15" t="s">
        <v>808</v>
      </c>
      <c r="D13" s="10" t="s">
        <v>809</v>
      </c>
      <c r="E13" s="24" t="s">
        <v>163</v>
      </c>
      <c r="F13" s="15" t="s">
        <v>810</v>
      </c>
    </row>
    <row r="14" customFormat="false" ht="15" hidden="false" customHeight="false" outlineLevel="0" collapsed="false">
      <c r="A14" s="26" t="s">
        <v>38</v>
      </c>
      <c r="B14" s="41" t="s">
        <v>811</v>
      </c>
      <c r="C14" s="15" t="s">
        <v>812</v>
      </c>
      <c r="D14" s="10" t="s">
        <v>813</v>
      </c>
      <c r="E14" s="24" t="s">
        <v>121</v>
      </c>
      <c r="F14" s="15" t="s">
        <v>814</v>
      </c>
    </row>
    <row r="15" customFormat="false" ht="15" hidden="false" customHeight="false" outlineLevel="0" collapsed="false">
      <c r="A15" s="26" t="s">
        <v>38</v>
      </c>
      <c r="B15" s="41" t="s">
        <v>815</v>
      </c>
      <c r="C15" s="15" t="s">
        <v>816</v>
      </c>
      <c r="D15" s="10" t="s">
        <v>817</v>
      </c>
      <c r="E15" s="24" t="s">
        <v>126</v>
      </c>
      <c r="F15" s="15" t="s">
        <v>818</v>
      </c>
    </row>
    <row r="16" customFormat="false" ht="15" hidden="false" customHeight="false" outlineLevel="0" collapsed="false">
      <c r="A16" s="26" t="s">
        <v>38</v>
      </c>
      <c r="B16" s="41" t="s">
        <v>819</v>
      </c>
      <c r="C16" s="15" t="s">
        <v>820</v>
      </c>
      <c r="D16" s="10" t="s">
        <v>821</v>
      </c>
      <c r="E16" s="24" t="s">
        <v>130</v>
      </c>
      <c r="F16" s="15" t="s">
        <v>822</v>
      </c>
    </row>
    <row r="17" customFormat="false" ht="15" hidden="false" customHeight="false" outlineLevel="0" collapsed="false">
      <c r="A17" s="26" t="s">
        <v>38</v>
      </c>
      <c r="B17" s="41" t="s">
        <v>823</v>
      </c>
      <c r="C17" s="15" t="s">
        <v>824</v>
      </c>
      <c r="D17" s="10" t="s">
        <v>825</v>
      </c>
      <c r="E17" s="24" t="s">
        <v>135</v>
      </c>
      <c r="F17" s="15" t="s">
        <v>826</v>
      </c>
    </row>
    <row r="18" customFormat="false" ht="15" hidden="false" customHeight="false" outlineLevel="0" collapsed="false">
      <c r="A18" s="26" t="s">
        <v>38</v>
      </c>
      <c r="B18" s="41" t="s">
        <v>827</v>
      </c>
      <c r="C18" s="15" t="s">
        <v>828</v>
      </c>
      <c r="D18" s="10" t="s">
        <v>829</v>
      </c>
      <c r="E18" s="24" t="s">
        <v>144</v>
      </c>
      <c r="F18" s="15" t="s">
        <v>830</v>
      </c>
    </row>
    <row r="19" customFormat="false" ht="15" hidden="false" customHeight="false" outlineLevel="0" collapsed="false">
      <c r="A19" s="26" t="s">
        <v>38</v>
      </c>
      <c r="B19" s="41" t="s">
        <v>831</v>
      </c>
      <c r="C19" s="15" t="s">
        <v>832</v>
      </c>
      <c r="D19" s="10" t="s">
        <v>833</v>
      </c>
      <c r="E19" s="24" t="s">
        <v>152</v>
      </c>
      <c r="F19" s="15" t="s">
        <v>834</v>
      </c>
    </row>
    <row r="20" customFormat="false" ht="15" hidden="false" customHeight="false" outlineLevel="0" collapsed="false">
      <c r="A20" s="26" t="s">
        <v>38</v>
      </c>
      <c r="B20" s="41" t="s">
        <v>835</v>
      </c>
      <c r="C20" s="15" t="s">
        <v>836</v>
      </c>
      <c r="D20" s="10" t="s">
        <v>837</v>
      </c>
      <c r="E20" s="24" t="s">
        <v>162</v>
      </c>
      <c r="F20" s="15" t="s">
        <v>838</v>
      </c>
    </row>
    <row r="21" customFormat="false" ht="15" hidden="false" customHeight="false" outlineLevel="0" collapsed="false">
      <c r="A21" s="26" t="s">
        <v>38</v>
      </c>
      <c r="B21" s="41" t="s">
        <v>839</v>
      </c>
      <c r="C21" s="15" t="s">
        <v>840</v>
      </c>
      <c r="D21" s="10" t="s">
        <v>841</v>
      </c>
      <c r="E21" s="24" t="s">
        <v>171</v>
      </c>
      <c r="F21" s="15" t="s">
        <v>842</v>
      </c>
    </row>
    <row r="22" customFormat="false" ht="15" hidden="false" customHeight="false" outlineLevel="0" collapsed="false">
      <c r="A22" s="26" t="s">
        <v>38</v>
      </c>
      <c r="B22" s="41" t="s">
        <v>843</v>
      </c>
      <c r="C22" s="15" t="s">
        <v>844</v>
      </c>
      <c r="D22" s="10" t="s">
        <v>845</v>
      </c>
      <c r="E22" s="24" t="s">
        <v>176</v>
      </c>
      <c r="F22" s="15" t="s">
        <v>846</v>
      </c>
    </row>
    <row r="23" customFormat="false" ht="15" hidden="false" customHeight="false" outlineLevel="0" collapsed="false">
      <c r="A23" s="26" t="s">
        <v>38</v>
      </c>
      <c r="B23" s="41" t="s">
        <v>375</v>
      </c>
      <c r="C23" s="15" t="s">
        <v>847</v>
      </c>
      <c r="D23" s="10" t="s">
        <v>848</v>
      </c>
      <c r="E23" s="24" t="s">
        <v>82</v>
      </c>
      <c r="F23" s="15" t="s">
        <v>849</v>
      </c>
    </row>
    <row r="24" customFormat="false" ht="15" hidden="false" customHeight="false" outlineLevel="0" collapsed="false">
      <c r="A24" s="12" t="s">
        <v>222</v>
      </c>
      <c r="B24" s="41" t="s">
        <v>184</v>
      </c>
      <c r="C24" s="15" t="s">
        <v>850</v>
      </c>
      <c r="D24" s="10" t="s">
        <v>851</v>
      </c>
      <c r="E24" s="24" t="s">
        <v>139</v>
      </c>
      <c r="F24" s="15" t="s">
        <v>852</v>
      </c>
    </row>
    <row r="25" customFormat="false" ht="15" hidden="false" customHeight="false" outlineLevel="0" collapsed="false">
      <c r="A25" s="27" t="s">
        <v>42</v>
      </c>
      <c r="B25" s="41" t="s">
        <v>188</v>
      </c>
      <c r="C25" s="15" t="s">
        <v>853</v>
      </c>
      <c r="D25" s="10" t="s">
        <v>854</v>
      </c>
      <c r="E25" s="24" t="s">
        <v>153</v>
      </c>
      <c r="F25" s="15" t="s">
        <v>855</v>
      </c>
    </row>
    <row r="26" customFormat="false" ht="15" hidden="false" customHeight="false" outlineLevel="0" collapsed="false">
      <c r="A26" s="27" t="s">
        <v>42</v>
      </c>
      <c r="B26" s="41" t="s">
        <v>193</v>
      </c>
      <c r="C26" s="15" t="s">
        <v>856</v>
      </c>
      <c r="D26" s="10" t="s">
        <v>857</v>
      </c>
      <c r="E26" s="24" t="s">
        <v>194</v>
      </c>
      <c r="F26" s="15" t="s">
        <v>858</v>
      </c>
    </row>
    <row r="27" customFormat="false" ht="15" hidden="false" customHeight="false" outlineLevel="0" collapsed="false">
      <c r="A27" s="27" t="s">
        <v>42</v>
      </c>
      <c r="B27" s="41" t="s">
        <v>499</v>
      </c>
      <c r="C27" s="15" t="s">
        <v>859</v>
      </c>
      <c r="D27" s="10" t="s">
        <v>860</v>
      </c>
      <c r="E27" s="24" t="s">
        <v>189</v>
      </c>
      <c r="F27" s="15" t="s">
        <v>861</v>
      </c>
    </row>
    <row r="28" customFormat="false" ht="15" hidden="false" customHeight="false" outlineLevel="0" collapsed="false">
      <c r="A28" s="27" t="s">
        <v>42</v>
      </c>
      <c r="B28" s="41" t="s">
        <v>508</v>
      </c>
      <c r="C28" s="15" t="s">
        <v>862</v>
      </c>
      <c r="D28" s="10" t="s">
        <v>857</v>
      </c>
      <c r="E28" s="24" t="s">
        <v>195</v>
      </c>
      <c r="F28" s="15" t="s">
        <v>863</v>
      </c>
    </row>
    <row r="29" customFormat="false" ht="15" hidden="false" customHeight="false" outlineLevel="0" collapsed="false">
      <c r="A29" s="12" t="s">
        <v>222</v>
      </c>
      <c r="B29" s="41" t="s">
        <v>199</v>
      </c>
      <c r="C29" s="15" t="s">
        <v>864</v>
      </c>
      <c r="D29" s="10" t="s">
        <v>865</v>
      </c>
      <c r="E29" s="24" t="s">
        <v>157</v>
      </c>
      <c r="F29" s="15" t="s">
        <v>866</v>
      </c>
    </row>
  </sheetData>
  <autoFilter ref="A2:F29"/>
  <mergeCells count="1">
    <mergeCell ref="A1:F1"/>
  </mergeCells>
  <hyperlinks>
    <hyperlink ref="E3" r:id="rId1" display="https://www.professormesser.com/free-a-plus-training/220-1201/220-1201-video/220-1201-training-course/"/>
    <hyperlink ref="E4" r:id="rId2" display="https://www.professormesser.com/free-a-plus-training/220-1202/220-1202-video/220-1202-training-course/"/>
    <hyperlink ref="E5" r:id="rId3" display="https://www.netdevgroup.com/online/courses/open-source/linux-unhatched"/>
    <hyperlink ref="E6" r:id="rId4" display="https://www.virtualbox.org/wiki/Downloads"/>
    <hyperlink ref="E7" r:id="rId5" display="https://ubuntu.com/download/desktop"/>
    <hyperlink ref="E8" r:id="rId6" display="https://www.cisco.com/site/us/en/learn/training-certifications/training/courses/ccst-networking.html"/>
    <hyperlink ref="E9" r:id="rId7" display="https://www.professormesser.com/network-plus/n10-009/n10-009-video/n10-009-training-course/"/>
    <hyperlink ref="E10" r:id="rId8" display="https://www.wireshark.org/download.html"/>
    <hyperlink ref="E11" r:id="rId9" display="https://contenthub.netacad.com/courses/cyberops/_common/5.3.7-lab---introduction-to-wireshark.pdf"/>
    <hyperlink ref="E12" r:id="rId10" display="https://tryhackme.com/path/outline/presecurity"/>
    <hyperlink ref="E13" r:id="rId11" display="https://www.coursera.org/professional-certificates/google-cybersecurity"/>
    <hyperlink ref="E14" r:id="rId12" display="https://www.coursera.org/learn/foundations-of-cybersecurity?specialization=google-cybersecurity"/>
    <hyperlink ref="E15" r:id="rId13" display="https://www.coursera.org/learn/manage-security-risks?specialization=google-cybersecurity"/>
    <hyperlink ref="E16" r:id="rId14" display="https://www.coursera.org/learn/networks-and-network-security?specialization=google-cybersecurity"/>
    <hyperlink ref="E17" r:id="rId15" display="https://www.coursera.org/learn/linux-and-sql?specialization=google-cybersecurity"/>
    <hyperlink ref="E18" r:id="rId16" display="https://www.coursera.org/learn/assets-threats-and-vulnerabilities?specialization=google-cybersecurity"/>
    <hyperlink ref="E19" r:id="rId17" display="https://www.coursera.org/learn/detection-and-response?specialization=google-cybersecurity"/>
    <hyperlink ref="E20" r:id="rId18" display="https://www.coursera.org/learn/automate-cybersecurity-tasks-with-python?specialization=google-cybersecurity"/>
    <hyperlink ref="E21" r:id="rId19" display="https://www.coursera.org/learn/prepare-for-cybersecurity-jobs?specialization=google-cybersecurity"/>
    <hyperlink ref="E22" r:id="rId20" display="https://www.coursera.org/learn/accelerate-your-job-search-with-ai?specialization=google-cybersecurity"/>
    <hyperlink ref="E23" r:id="rId21" display="https://www.professormesser.com/security-plus/sy0-701/sy0-701-video/sy0-701-comptia-security-plus-course/"/>
    <hyperlink ref="E24" r:id="rId22" display="https://tryhackme.com/path/outline/cybersecurity101"/>
    <hyperlink ref="E25" r:id="rId23" display="https://www.cisa.gov/resources-tools/programs/Incident-Response-Training"/>
    <hyperlink ref="E26" r:id="rId24" display="https://www.cisa.gov/critical-infrastructure-training"/>
    <hyperlink ref="E27" r:id="rId25" display="https://www.cisa.gov/resources-tools/resources/cisa-learning"/>
    <hyperlink ref="E28" r:id="rId26" display="https://www.cisa.gov/resources-tools/resources/cyber-security-evaluation-tool-cset-fact-sheet-public-safety"/>
    <hyperlink ref="E29" r:id="rId27" display="https://tryhackme.com/module/defensive-securit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36"/>
    <col collapsed="false" customWidth="true" hidden="false" outlineLevel="0" max="4" min="4" style="0" width="30"/>
    <col collapsed="false" customWidth="true" hidden="false" outlineLevel="0" max="5" min="5" style="0" width="22"/>
    <col collapsed="false" customWidth="true" hidden="false" outlineLevel="0" max="6" min="6" style="0" width="34"/>
    <col collapsed="false" customWidth="true" hidden="false" outlineLevel="0" max="7" min="7" style="0" width="30"/>
    <col collapsed="false" customWidth="true" hidden="false" outlineLevel="0" max="9" min="8" style="0" width="14"/>
    <col collapsed="false" customWidth="true" hidden="false" outlineLevel="0" max="10" min="10" style="0" width="22"/>
    <col collapsed="false" customWidth="true" hidden="false" outlineLevel="0" max="11" min="11" style="0" width="14"/>
  </cols>
  <sheetData>
    <row r="1" customFormat="false" ht="24" hidden="false" customHeight="true" outlineLevel="0" collapsed="false">
      <c r="A1" s="21" t="s">
        <v>573</v>
      </c>
      <c r="B1" s="21"/>
      <c r="C1" s="21"/>
      <c r="D1" s="21"/>
      <c r="E1" s="21"/>
      <c r="F1" s="21"/>
      <c r="G1" s="21"/>
      <c r="H1" s="21"/>
      <c r="I1" s="21"/>
      <c r="J1" s="21"/>
      <c r="K1" s="21"/>
    </row>
    <row r="2" customFormat="false" ht="31.5" hidden="false" customHeight="true" outlineLevel="0" collapsed="false">
      <c r="A2" s="22" t="s">
        <v>867</v>
      </c>
      <c r="B2" s="22" t="s">
        <v>868</v>
      </c>
      <c r="C2" s="22" t="s">
        <v>733</v>
      </c>
      <c r="D2" s="22" t="s">
        <v>869</v>
      </c>
      <c r="E2" s="22" t="s">
        <v>870</v>
      </c>
      <c r="F2" s="22" t="s">
        <v>871</v>
      </c>
      <c r="G2" s="22" t="s">
        <v>872</v>
      </c>
      <c r="H2" s="22" t="s">
        <v>873</v>
      </c>
      <c r="I2" s="22" t="s">
        <v>874</v>
      </c>
      <c r="J2" s="22" t="s">
        <v>875</v>
      </c>
      <c r="K2" s="22" t="s">
        <v>217</v>
      </c>
    </row>
    <row r="3" customFormat="false" ht="35.05" hidden="false" customHeight="false" outlineLevel="0" collapsed="false">
      <c r="A3" s="15" t="s">
        <v>876</v>
      </c>
      <c r="B3" s="15" t="s">
        <v>877</v>
      </c>
      <c r="C3" s="42" t="s">
        <v>878</v>
      </c>
      <c r="D3" s="15" t="s">
        <v>879</v>
      </c>
      <c r="E3" s="15" t="s">
        <v>880</v>
      </c>
      <c r="F3" s="15" t="s">
        <v>881</v>
      </c>
      <c r="G3" s="15" t="s">
        <v>882</v>
      </c>
      <c r="H3" s="15" t="s">
        <v>883</v>
      </c>
      <c r="I3" s="15" t="s">
        <v>883</v>
      </c>
      <c r="J3" s="15" t="s">
        <v>884</v>
      </c>
      <c r="K3" s="15" t="s">
        <v>885</v>
      </c>
    </row>
    <row r="4" customFormat="false" ht="15" hidden="false" customHeight="false" outlineLevel="0" collapsed="false">
      <c r="A4" s="15"/>
      <c r="B4" s="15"/>
      <c r="C4" s="15"/>
      <c r="D4" s="15"/>
      <c r="E4" s="15"/>
      <c r="F4" s="15"/>
      <c r="G4" s="15"/>
      <c r="H4" s="15"/>
      <c r="I4" s="15"/>
      <c r="J4" s="15"/>
      <c r="K4" s="15"/>
    </row>
    <row r="5" customFormat="false" ht="15" hidden="false" customHeight="false" outlineLevel="0" collapsed="false">
      <c r="A5" s="15"/>
      <c r="B5" s="15"/>
      <c r="C5" s="15"/>
      <c r="D5" s="15"/>
      <c r="E5" s="15"/>
      <c r="F5" s="15"/>
      <c r="G5" s="15"/>
      <c r="H5" s="15"/>
      <c r="I5" s="15"/>
      <c r="J5" s="15"/>
      <c r="K5" s="15"/>
    </row>
    <row r="6" customFormat="false" ht="15" hidden="false" customHeight="false" outlineLevel="0" collapsed="false">
      <c r="A6" s="15"/>
      <c r="B6" s="15"/>
      <c r="C6" s="15"/>
      <c r="D6" s="15"/>
      <c r="E6" s="15"/>
      <c r="F6" s="15"/>
      <c r="G6" s="15"/>
      <c r="H6" s="15"/>
      <c r="I6" s="15"/>
      <c r="J6" s="15"/>
      <c r="K6" s="15"/>
    </row>
    <row r="7" customFormat="false" ht="15" hidden="false" customHeight="false" outlineLevel="0" collapsed="false">
      <c r="A7" s="15"/>
      <c r="B7" s="15"/>
      <c r="C7" s="15"/>
      <c r="D7" s="15"/>
      <c r="E7" s="15"/>
      <c r="F7" s="15"/>
      <c r="G7" s="15"/>
      <c r="H7" s="15"/>
      <c r="I7" s="15"/>
      <c r="J7" s="15"/>
      <c r="K7" s="15"/>
    </row>
    <row r="8" customFormat="false" ht="15" hidden="false" customHeight="false" outlineLevel="0" collapsed="false">
      <c r="A8" s="15"/>
      <c r="B8" s="15"/>
      <c r="C8" s="15"/>
      <c r="D8" s="15"/>
      <c r="E8" s="15"/>
      <c r="F8" s="15"/>
      <c r="G8" s="15"/>
      <c r="H8" s="15"/>
      <c r="I8" s="15"/>
      <c r="J8" s="15"/>
      <c r="K8" s="15"/>
    </row>
    <row r="9" customFormat="false" ht="15" hidden="false" customHeight="false" outlineLevel="0" collapsed="false">
      <c r="A9" s="15"/>
      <c r="B9" s="15"/>
      <c r="C9" s="15"/>
      <c r="D9" s="15"/>
      <c r="E9" s="15"/>
      <c r="F9" s="15"/>
      <c r="G9" s="15"/>
      <c r="H9" s="15"/>
      <c r="I9" s="15"/>
      <c r="J9" s="15"/>
      <c r="K9" s="15"/>
    </row>
    <row r="10" customFormat="false" ht="15" hidden="false" customHeight="false" outlineLevel="0" collapsed="false">
      <c r="A10" s="15"/>
      <c r="B10" s="15"/>
      <c r="C10" s="15"/>
      <c r="D10" s="15"/>
      <c r="E10" s="15"/>
      <c r="F10" s="15"/>
      <c r="G10" s="15"/>
      <c r="H10" s="15"/>
      <c r="I10" s="15"/>
      <c r="J10" s="15"/>
      <c r="K10" s="15"/>
    </row>
    <row r="11" customFormat="false" ht="15" hidden="false" customHeight="false" outlineLevel="0" collapsed="false">
      <c r="A11" s="15"/>
      <c r="B11" s="15"/>
      <c r="C11" s="15"/>
      <c r="D11" s="15"/>
      <c r="E11" s="15"/>
      <c r="F11" s="15"/>
      <c r="G11" s="15"/>
      <c r="H11" s="15"/>
      <c r="I11" s="15"/>
      <c r="J11" s="15"/>
      <c r="K11" s="15"/>
    </row>
    <row r="12" customFormat="false" ht="15" hidden="false" customHeight="false" outlineLevel="0" collapsed="false">
      <c r="A12" s="15"/>
      <c r="B12" s="15"/>
      <c r="C12" s="15"/>
      <c r="D12" s="15"/>
      <c r="E12" s="15"/>
      <c r="F12" s="15"/>
      <c r="G12" s="15"/>
      <c r="H12" s="15"/>
      <c r="I12" s="15"/>
      <c r="J12" s="15"/>
      <c r="K12" s="15"/>
    </row>
    <row r="13" customFormat="false" ht="15" hidden="false" customHeight="false" outlineLevel="0" collapsed="false">
      <c r="A13" s="15"/>
      <c r="B13" s="15"/>
      <c r="C13" s="15"/>
      <c r="D13" s="15"/>
      <c r="E13" s="15"/>
      <c r="F13" s="15"/>
      <c r="G13" s="15"/>
      <c r="H13" s="15"/>
      <c r="I13" s="15"/>
      <c r="J13" s="15"/>
      <c r="K13" s="15"/>
    </row>
    <row r="14" customFormat="false" ht="15" hidden="false" customHeight="false" outlineLevel="0" collapsed="false">
      <c r="A14" s="15"/>
      <c r="B14" s="15"/>
      <c r="C14" s="15"/>
      <c r="D14" s="15"/>
      <c r="E14" s="15"/>
      <c r="F14" s="15"/>
      <c r="G14" s="15"/>
      <c r="H14" s="15"/>
      <c r="I14" s="15"/>
      <c r="J14" s="15"/>
      <c r="K14" s="15"/>
    </row>
    <row r="15" customFormat="false" ht="15" hidden="false" customHeight="false" outlineLevel="0" collapsed="false">
      <c r="A15" s="15"/>
      <c r="B15" s="15"/>
      <c r="C15" s="15"/>
      <c r="D15" s="15"/>
      <c r="E15" s="15"/>
      <c r="F15" s="15"/>
      <c r="G15" s="15"/>
      <c r="H15" s="15"/>
      <c r="I15" s="15"/>
      <c r="J15" s="15"/>
      <c r="K15" s="15"/>
    </row>
    <row r="16" customFormat="false" ht="15" hidden="false" customHeight="false" outlineLevel="0" collapsed="false">
      <c r="A16" s="15"/>
      <c r="B16" s="15"/>
      <c r="C16" s="15"/>
      <c r="D16" s="15"/>
      <c r="E16" s="15"/>
      <c r="F16" s="15"/>
      <c r="G16" s="15"/>
      <c r="H16" s="15"/>
      <c r="I16" s="15"/>
      <c r="J16" s="15"/>
      <c r="K16" s="15"/>
    </row>
    <row r="17" customFormat="false" ht="15" hidden="false" customHeight="false" outlineLevel="0" collapsed="false">
      <c r="A17" s="15"/>
      <c r="B17" s="15"/>
      <c r="C17" s="15"/>
      <c r="D17" s="15"/>
      <c r="E17" s="15"/>
      <c r="F17" s="15"/>
      <c r="G17" s="15"/>
      <c r="H17" s="15"/>
      <c r="I17" s="15"/>
      <c r="J17" s="15"/>
      <c r="K17" s="15"/>
    </row>
    <row r="18" customFormat="false" ht="15" hidden="false" customHeight="false" outlineLevel="0" collapsed="false">
      <c r="A18" s="15"/>
      <c r="B18" s="15"/>
      <c r="C18" s="15"/>
      <c r="D18" s="15"/>
      <c r="E18" s="15"/>
      <c r="F18" s="15"/>
      <c r="G18" s="15"/>
      <c r="H18" s="15"/>
      <c r="I18" s="15"/>
      <c r="J18" s="15"/>
      <c r="K18" s="15"/>
    </row>
    <row r="19" customFormat="false" ht="15" hidden="false" customHeight="false" outlineLevel="0" collapsed="false">
      <c r="A19" s="15"/>
      <c r="B19" s="15"/>
      <c r="C19" s="15"/>
      <c r="D19" s="15"/>
      <c r="E19" s="15"/>
      <c r="F19" s="15"/>
      <c r="G19" s="15"/>
      <c r="H19" s="15"/>
      <c r="I19" s="15"/>
      <c r="J19" s="15"/>
      <c r="K19" s="15"/>
    </row>
    <row r="20" customFormat="false" ht="15" hidden="false" customHeight="false" outlineLevel="0" collapsed="false">
      <c r="A20" s="15"/>
      <c r="B20" s="15"/>
      <c r="C20" s="15"/>
      <c r="D20" s="15"/>
      <c r="E20" s="15"/>
      <c r="F20" s="15"/>
      <c r="G20" s="15"/>
      <c r="H20" s="15"/>
      <c r="I20" s="15"/>
      <c r="J20" s="15"/>
      <c r="K20" s="15"/>
    </row>
    <row r="21" customFormat="false" ht="15" hidden="false" customHeight="false" outlineLevel="0" collapsed="false">
      <c r="A21" s="15"/>
      <c r="B21" s="15"/>
      <c r="C21" s="15"/>
      <c r="D21" s="15"/>
      <c r="E21" s="15"/>
      <c r="F21" s="15"/>
      <c r="G21" s="15"/>
      <c r="H21" s="15"/>
      <c r="I21" s="15"/>
      <c r="J21" s="15"/>
      <c r="K21" s="15"/>
    </row>
    <row r="22" customFormat="false" ht="15" hidden="false" customHeight="false" outlineLevel="0" collapsed="false">
      <c r="A22" s="15"/>
      <c r="B22" s="15"/>
      <c r="C22" s="15"/>
      <c r="D22" s="15"/>
      <c r="E22" s="15"/>
      <c r="F22" s="15"/>
      <c r="G22" s="15"/>
      <c r="H22" s="15"/>
      <c r="I22" s="15"/>
      <c r="J22" s="15"/>
      <c r="K22" s="15"/>
    </row>
    <row r="23" customFormat="false" ht="15" hidden="false" customHeight="false" outlineLevel="0" collapsed="false">
      <c r="A23" s="15"/>
      <c r="B23" s="15"/>
      <c r="C23" s="15"/>
      <c r="D23" s="15"/>
      <c r="E23" s="15"/>
      <c r="F23" s="15"/>
      <c r="G23" s="15"/>
      <c r="H23" s="15"/>
      <c r="I23" s="15"/>
      <c r="J23" s="15"/>
      <c r="K23" s="15"/>
    </row>
    <row r="24" customFormat="false" ht="15" hidden="false" customHeight="false" outlineLevel="0" collapsed="false">
      <c r="A24" s="15"/>
      <c r="B24" s="15"/>
      <c r="C24" s="15"/>
      <c r="D24" s="15"/>
      <c r="E24" s="15"/>
      <c r="F24" s="15"/>
      <c r="G24" s="15"/>
      <c r="H24" s="15"/>
      <c r="I24" s="15"/>
      <c r="J24" s="15"/>
      <c r="K24" s="15"/>
    </row>
    <row r="25" customFormat="false" ht="15" hidden="false" customHeight="false" outlineLevel="0" collapsed="false">
      <c r="A25" s="15"/>
      <c r="B25" s="15"/>
      <c r="C25" s="15"/>
      <c r="D25" s="15"/>
      <c r="E25" s="15"/>
      <c r="F25" s="15"/>
      <c r="G25" s="15"/>
      <c r="H25" s="15"/>
      <c r="I25" s="15"/>
      <c r="J25" s="15"/>
      <c r="K25" s="15"/>
    </row>
    <row r="26" customFormat="false" ht="15" hidden="false" customHeight="false" outlineLevel="0" collapsed="false">
      <c r="A26" s="15"/>
      <c r="B26" s="15"/>
      <c r="C26" s="15"/>
      <c r="D26" s="15"/>
      <c r="E26" s="15"/>
      <c r="F26" s="15"/>
      <c r="G26" s="15"/>
      <c r="H26" s="15"/>
      <c r="I26" s="15"/>
      <c r="J26" s="15"/>
      <c r="K26" s="15"/>
    </row>
    <row r="27" customFormat="false" ht="15" hidden="false" customHeight="false" outlineLevel="0" collapsed="false">
      <c r="A27" s="15"/>
      <c r="B27" s="15"/>
      <c r="C27" s="15"/>
      <c r="D27" s="15"/>
      <c r="E27" s="15"/>
      <c r="F27" s="15"/>
      <c r="G27" s="15"/>
      <c r="H27" s="15"/>
      <c r="I27" s="15"/>
      <c r="J27" s="15"/>
      <c r="K27" s="15"/>
    </row>
    <row r="28" customFormat="false" ht="15" hidden="false" customHeight="false" outlineLevel="0" collapsed="false">
      <c r="A28" s="15"/>
      <c r="B28" s="15"/>
      <c r="C28" s="15"/>
      <c r="D28" s="15"/>
      <c r="E28" s="15"/>
      <c r="F28" s="15"/>
      <c r="G28" s="15"/>
      <c r="H28" s="15"/>
      <c r="I28" s="15"/>
      <c r="J28" s="15"/>
      <c r="K28" s="15"/>
    </row>
    <row r="29" customFormat="false" ht="15" hidden="false" customHeight="false" outlineLevel="0" collapsed="false">
      <c r="A29" s="15"/>
      <c r="B29" s="15"/>
      <c r="C29" s="15"/>
      <c r="D29" s="15"/>
      <c r="E29" s="15"/>
      <c r="F29" s="15"/>
      <c r="G29" s="15"/>
      <c r="H29" s="15"/>
      <c r="I29" s="15"/>
      <c r="J29" s="15"/>
      <c r="K29" s="15"/>
    </row>
    <row r="30" customFormat="false" ht="15" hidden="false" customHeight="false" outlineLevel="0" collapsed="false">
      <c r="A30" s="15"/>
      <c r="B30" s="15"/>
      <c r="C30" s="15"/>
      <c r="D30" s="15"/>
      <c r="E30" s="15"/>
      <c r="F30" s="15"/>
      <c r="G30" s="15"/>
      <c r="H30" s="15"/>
      <c r="I30" s="15"/>
      <c r="J30" s="15"/>
      <c r="K30" s="15"/>
    </row>
    <row r="31" customFormat="false" ht="15" hidden="false" customHeight="false" outlineLevel="0" collapsed="false">
      <c r="A31" s="15"/>
      <c r="B31" s="15"/>
      <c r="C31" s="15"/>
      <c r="D31" s="15"/>
      <c r="E31" s="15"/>
      <c r="F31" s="15"/>
      <c r="G31" s="15"/>
      <c r="H31" s="15"/>
      <c r="I31" s="15"/>
      <c r="J31" s="15"/>
      <c r="K31" s="15"/>
    </row>
    <row r="32" customFormat="false" ht="15" hidden="false" customHeight="false" outlineLevel="0" collapsed="false">
      <c r="A32" s="15"/>
      <c r="B32" s="15"/>
      <c r="C32" s="15"/>
      <c r="D32" s="15"/>
      <c r="E32" s="15"/>
      <c r="F32" s="15"/>
      <c r="G32" s="15"/>
      <c r="H32" s="15"/>
      <c r="I32" s="15"/>
      <c r="J32" s="15"/>
      <c r="K32" s="15"/>
    </row>
    <row r="33" customFormat="false" ht="15" hidden="false" customHeight="false" outlineLevel="0" collapsed="false">
      <c r="A33" s="15"/>
      <c r="B33" s="15"/>
      <c r="C33" s="15"/>
      <c r="D33" s="15"/>
      <c r="E33" s="15"/>
      <c r="F33" s="15"/>
      <c r="G33" s="15"/>
      <c r="H33" s="15"/>
      <c r="I33" s="15"/>
      <c r="J33" s="15"/>
      <c r="K33" s="15"/>
    </row>
    <row r="34" customFormat="false" ht="15" hidden="false" customHeight="false" outlineLevel="0" collapsed="false">
      <c r="A34" s="15"/>
      <c r="B34" s="15"/>
      <c r="C34" s="15"/>
      <c r="D34" s="15"/>
      <c r="E34" s="15"/>
      <c r="F34" s="15"/>
      <c r="G34" s="15"/>
      <c r="H34" s="15"/>
      <c r="I34" s="15"/>
      <c r="J34" s="15"/>
      <c r="K34" s="15"/>
    </row>
    <row r="35" customFormat="false" ht="15" hidden="false" customHeight="false" outlineLevel="0" collapsed="false">
      <c r="A35" s="15"/>
      <c r="B35" s="15"/>
      <c r="C35" s="15"/>
      <c r="D35" s="15"/>
      <c r="E35" s="15"/>
      <c r="F35" s="15"/>
      <c r="G35" s="15"/>
      <c r="H35" s="15"/>
      <c r="I35" s="15"/>
      <c r="J35" s="15"/>
      <c r="K35" s="15"/>
    </row>
    <row r="36" customFormat="false" ht="15" hidden="false" customHeight="false" outlineLevel="0" collapsed="false">
      <c r="A36" s="15"/>
      <c r="B36" s="15"/>
      <c r="C36" s="15"/>
      <c r="D36" s="15"/>
      <c r="E36" s="15"/>
      <c r="F36" s="15"/>
      <c r="G36" s="15"/>
      <c r="H36" s="15"/>
      <c r="I36" s="15"/>
      <c r="J36" s="15"/>
      <c r="K36" s="15"/>
    </row>
    <row r="37" customFormat="false" ht="15" hidden="false" customHeight="false" outlineLevel="0" collapsed="false">
      <c r="A37" s="15"/>
      <c r="B37" s="15"/>
      <c r="C37" s="15"/>
      <c r="D37" s="15"/>
      <c r="E37" s="15"/>
      <c r="F37" s="15"/>
      <c r="G37" s="15"/>
      <c r="H37" s="15"/>
      <c r="I37" s="15"/>
      <c r="J37" s="15"/>
      <c r="K37" s="15"/>
    </row>
    <row r="38" customFormat="false" ht="15" hidden="false" customHeight="false" outlineLevel="0" collapsed="false">
      <c r="A38" s="15"/>
      <c r="B38" s="15"/>
      <c r="C38" s="15"/>
      <c r="D38" s="15"/>
      <c r="E38" s="15"/>
      <c r="F38" s="15"/>
      <c r="G38" s="15"/>
      <c r="H38" s="15"/>
      <c r="I38" s="15"/>
      <c r="J38" s="15"/>
      <c r="K38" s="15"/>
    </row>
    <row r="39" customFormat="false" ht="15" hidden="false" customHeight="false" outlineLevel="0" collapsed="false">
      <c r="A39" s="15"/>
      <c r="B39" s="15"/>
      <c r="C39" s="15"/>
      <c r="D39" s="15"/>
      <c r="E39" s="15"/>
      <c r="F39" s="15"/>
      <c r="G39" s="15"/>
      <c r="H39" s="15"/>
      <c r="I39" s="15"/>
      <c r="J39" s="15"/>
      <c r="K39" s="15"/>
    </row>
    <row r="40" customFormat="false" ht="15" hidden="false" customHeight="false" outlineLevel="0" collapsed="false">
      <c r="A40" s="15"/>
      <c r="B40" s="15"/>
      <c r="C40" s="15"/>
      <c r="D40" s="15"/>
      <c r="E40" s="15"/>
      <c r="F40" s="15"/>
      <c r="G40" s="15"/>
      <c r="H40" s="15"/>
      <c r="I40" s="15"/>
      <c r="J40" s="15"/>
      <c r="K40" s="15"/>
    </row>
    <row r="41" customFormat="false" ht="15" hidden="false" customHeight="false" outlineLevel="0" collapsed="false">
      <c r="A41" s="15"/>
      <c r="B41" s="15"/>
      <c r="C41" s="15"/>
      <c r="D41" s="15"/>
      <c r="E41" s="15"/>
      <c r="F41" s="15"/>
      <c r="G41" s="15"/>
      <c r="H41" s="15"/>
      <c r="I41" s="15"/>
      <c r="J41" s="15"/>
      <c r="K41" s="15"/>
    </row>
    <row r="42" customFormat="false" ht="15" hidden="false" customHeight="false" outlineLevel="0" collapsed="false">
      <c r="A42" s="15"/>
      <c r="B42" s="15"/>
      <c r="C42" s="15"/>
      <c r="D42" s="15"/>
      <c r="E42" s="15"/>
      <c r="F42" s="15"/>
      <c r="G42" s="15"/>
      <c r="H42" s="15"/>
      <c r="I42" s="15"/>
      <c r="J42" s="15"/>
      <c r="K42" s="15"/>
    </row>
    <row r="43" customFormat="false" ht="15" hidden="false" customHeight="false" outlineLevel="0" collapsed="false">
      <c r="A43" s="15"/>
      <c r="B43" s="15"/>
      <c r="C43" s="15"/>
      <c r="D43" s="15"/>
      <c r="E43" s="15"/>
      <c r="F43" s="15"/>
      <c r="G43" s="15"/>
      <c r="H43" s="15"/>
      <c r="I43" s="15"/>
      <c r="J43" s="15"/>
      <c r="K43" s="15"/>
    </row>
    <row r="44" customFormat="false" ht="15" hidden="false" customHeight="false" outlineLevel="0" collapsed="false">
      <c r="A44" s="15"/>
      <c r="B44" s="15"/>
      <c r="C44" s="15"/>
      <c r="D44" s="15"/>
      <c r="E44" s="15"/>
      <c r="F44" s="15"/>
      <c r="G44" s="15"/>
      <c r="H44" s="15"/>
      <c r="I44" s="15"/>
      <c r="J44" s="15"/>
      <c r="K44" s="15"/>
    </row>
    <row r="45" customFormat="false" ht="15" hidden="false" customHeight="false" outlineLevel="0" collapsed="false">
      <c r="A45" s="15"/>
      <c r="B45" s="15"/>
      <c r="C45" s="15"/>
      <c r="D45" s="15"/>
      <c r="E45" s="15"/>
      <c r="F45" s="15"/>
      <c r="G45" s="15"/>
      <c r="H45" s="15"/>
      <c r="I45" s="15"/>
      <c r="J45" s="15"/>
      <c r="K45" s="15"/>
    </row>
    <row r="46" customFormat="false" ht="15" hidden="false" customHeight="false" outlineLevel="0" collapsed="false">
      <c r="A46" s="15"/>
      <c r="B46" s="15"/>
      <c r="C46" s="15"/>
      <c r="D46" s="15"/>
      <c r="E46" s="15"/>
      <c r="F46" s="15"/>
      <c r="G46" s="15"/>
      <c r="H46" s="15"/>
      <c r="I46" s="15"/>
      <c r="J46" s="15"/>
      <c r="K46" s="15"/>
    </row>
    <row r="47" customFormat="false" ht="15" hidden="false" customHeight="false" outlineLevel="0" collapsed="false">
      <c r="A47" s="15"/>
      <c r="B47" s="15"/>
      <c r="C47" s="15"/>
      <c r="D47" s="15"/>
      <c r="E47" s="15"/>
      <c r="F47" s="15"/>
      <c r="G47" s="15"/>
      <c r="H47" s="15"/>
      <c r="I47" s="15"/>
      <c r="J47" s="15"/>
      <c r="K47" s="15"/>
    </row>
    <row r="48" customFormat="false" ht="15" hidden="false" customHeight="false" outlineLevel="0" collapsed="false">
      <c r="A48" s="15"/>
      <c r="B48" s="15"/>
      <c r="C48" s="15"/>
      <c r="D48" s="15"/>
      <c r="E48" s="15"/>
      <c r="F48" s="15"/>
      <c r="G48" s="15"/>
      <c r="H48" s="15"/>
      <c r="I48" s="15"/>
      <c r="J48" s="15"/>
      <c r="K48" s="15"/>
    </row>
    <row r="49" customFormat="false" ht="15" hidden="false" customHeight="false" outlineLevel="0" collapsed="false">
      <c r="A49" s="15"/>
      <c r="B49" s="15"/>
      <c r="C49" s="15"/>
      <c r="D49" s="15"/>
      <c r="E49" s="15"/>
      <c r="F49" s="15"/>
      <c r="G49" s="15"/>
      <c r="H49" s="15"/>
      <c r="I49" s="15"/>
      <c r="J49" s="15"/>
      <c r="K49" s="15"/>
    </row>
    <row r="50" customFormat="false" ht="15" hidden="false" customHeight="false" outlineLevel="0" collapsed="false">
      <c r="A50" s="15"/>
      <c r="B50" s="15"/>
      <c r="C50" s="15"/>
      <c r="D50" s="15"/>
      <c r="E50" s="15"/>
      <c r="F50" s="15"/>
      <c r="G50" s="15"/>
      <c r="H50" s="15"/>
      <c r="I50" s="15"/>
      <c r="J50" s="15"/>
      <c r="K50" s="15"/>
    </row>
    <row r="51" customFormat="false" ht="15" hidden="false" customHeight="false" outlineLevel="0" collapsed="false">
      <c r="A51" s="15"/>
      <c r="B51" s="15"/>
      <c r="C51" s="15"/>
      <c r="D51" s="15"/>
      <c r="E51" s="15"/>
      <c r="F51" s="15"/>
      <c r="G51" s="15"/>
      <c r="H51" s="15"/>
      <c r="I51" s="15"/>
      <c r="J51" s="15"/>
      <c r="K51" s="15"/>
    </row>
    <row r="52" customFormat="false" ht="15" hidden="false" customHeight="false" outlineLevel="0" collapsed="false">
      <c r="A52" s="15"/>
      <c r="B52" s="15"/>
      <c r="C52" s="15"/>
      <c r="D52" s="15"/>
      <c r="E52" s="15"/>
      <c r="F52" s="15"/>
      <c r="G52" s="15"/>
      <c r="H52" s="15"/>
      <c r="I52" s="15"/>
      <c r="J52" s="15"/>
      <c r="K52" s="15"/>
    </row>
    <row r="53" customFormat="false" ht="15" hidden="false" customHeight="false" outlineLevel="0" collapsed="false">
      <c r="A53" s="15"/>
      <c r="B53" s="15"/>
      <c r="C53" s="15"/>
      <c r="D53" s="15"/>
      <c r="E53" s="15"/>
      <c r="F53" s="15"/>
      <c r="G53" s="15"/>
      <c r="H53" s="15"/>
      <c r="I53" s="15"/>
      <c r="J53" s="15"/>
      <c r="K53" s="15"/>
    </row>
    <row r="54" customFormat="false" ht="15" hidden="false" customHeight="false" outlineLevel="0" collapsed="false">
      <c r="A54" s="15"/>
      <c r="B54" s="15"/>
      <c r="C54" s="15"/>
      <c r="D54" s="15"/>
      <c r="E54" s="15"/>
      <c r="F54" s="15"/>
      <c r="G54" s="15"/>
      <c r="H54" s="15"/>
      <c r="I54" s="15"/>
      <c r="J54" s="15"/>
      <c r="K54" s="15"/>
    </row>
    <row r="55" customFormat="false" ht="15" hidden="false" customHeight="false" outlineLevel="0" collapsed="false">
      <c r="A55" s="15"/>
      <c r="B55" s="15"/>
      <c r="C55" s="15"/>
      <c r="D55" s="15"/>
      <c r="E55" s="15"/>
      <c r="F55" s="15"/>
      <c r="G55" s="15"/>
      <c r="H55" s="15"/>
      <c r="I55" s="15"/>
      <c r="J55" s="15"/>
      <c r="K55" s="15"/>
    </row>
    <row r="56" customFormat="false" ht="15" hidden="false" customHeight="false" outlineLevel="0" collapsed="false">
      <c r="A56" s="15"/>
      <c r="B56" s="15"/>
      <c r="C56" s="15"/>
      <c r="D56" s="15"/>
      <c r="E56" s="15"/>
      <c r="F56" s="15"/>
      <c r="G56" s="15"/>
      <c r="H56" s="15"/>
      <c r="I56" s="15"/>
      <c r="J56" s="15"/>
      <c r="K56" s="15"/>
    </row>
    <row r="57" customFormat="false" ht="15" hidden="false" customHeight="false" outlineLevel="0" collapsed="false">
      <c r="A57" s="15"/>
      <c r="B57" s="15"/>
      <c r="C57" s="15"/>
      <c r="D57" s="15"/>
      <c r="E57" s="15"/>
      <c r="F57" s="15"/>
      <c r="G57" s="15"/>
      <c r="H57" s="15"/>
      <c r="I57" s="15"/>
      <c r="J57" s="15"/>
      <c r="K57" s="15"/>
    </row>
    <row r="58" customFormat="false" ht="15" hidden="false" customHeight="false" outlineLevel="0" collapsed="false">
      <c r="A58" s="15"/>
      <c r="B58" s="15"/>
      <c r="C58" s="15"/>
      <c r="D58" s="15"/>
      <c r="E58" s="15"/>
      <c r="F58" s="15"/>
      <c r="G58" s="15"/>
      <c r="H58" s="15"/>
      <c r="I58" s="15"/>
      <c r="J58" s="15"/>
      <c r="K58" s="15"/>
    </row>
    <row r="59" customFormat="false" ht="15" hidden="false" customHeight="false" outlineLevel="0" collapsed="false">
      <c r="A59" s="15"/>
      <c r="B59" s="15"/>
      <c r="C59" s="15"/>
      <c r="D59" s="15"/>
      <c r="E59" s="15"/>
      <c r="F59" s="15"/>
      <c r="G59" s="15"/>
      <c r="H59" s="15"/>
      <c r="I59" s="15"/>
      <c r="J59" s="15"/>
      <c r="K59" s="15"/>
    </row>
    <row r="60" customFormat="false" ht="15" hidden="false" customHeight="false" outlineLevel="0" collapsed="false">
      <c r="A60" s="15"/>
      <c r="B60" s="15"/>
      <c r="C60" s="15"/>
      <c r="D60" s="15"/>
      <c r="E60" s="15"/>
      <c r="F60" s="15"/>
      <c r="G60" s="15"/>
      <c r="H60" s="15"/>
      <c r="I60" s="15"/>
      <c r="J60" s="15"/>
      <c r="K60" s="15"/>
    </row>
    <row r="61" customFormat="false" ht="15" hidden="false" customHeight="false" outlineLevel="0" collapsed="false">
      <c r="A61" s="15"/>
      <c r="B61" s="15"/>
      <c r="C61" s="15"/>
      <c r="D61" s="15"/>
      <c r="E61" s="15"/>
      <c r="F61" s="15"/>
      <c r="G61" s="15"/>
      <c r="H61" s="15"/>
      <c r="I61" s="15"/>
      <c r="J61" s="15"/>
      <c r="K61" s="15"/>
    </row>
    <row r="62" customFormat="false" ht="15" hidden="false" customHeight="false" outlineLevel="0" collapsed="false">
      <c r="A62" s="15"/>
      <c r="B62" s="15"/>
      <c r="C62" s="15"/>
      <c r="D62" s="15"/>
      <c r="E62" s="15"/>
      <c r="F62" s="15"/>
      <c r="G62" s="15"/>
      <c r="H62" s="15"/>
      <c r="I62" s="15"/>
      <c r="J62" s="15"/>
      <c r="K62" s="15"/>
    </row>
    <row r="63" customFormat="false" ht="15" hidden="false" customHeight="false" outlineLevel="0" collapsed="false">
      <c r="A63" s="15"/>
      <c r="B63" s="15"/>
      <c r="C63" s="15"/>
      <c r="D63" s="15"/>
      <c r="E63" s="15"/>
      <c r="F63" s="15"/>
      <c r="G63" s="15"/>
      <c r="H63" s="15"/>
      <c r="I63" s="15"/>
      <c r="J63" s="15"/>
      <c r="K63" s="15"/>
    </row>
    <row r="66" customFormat="false" ht="15" hidden="false" customHeight="true" outlineLevel="0" collapsed="false">
      <c r="A66" s="3" t="s">
        <v>886</v>
      </c>
      <c r="B66" s="3"/>
      <c r="C66" s="3"/>
      <c r="D66" s="3"/>
      <c r="E66" s="3"/>
      <c r="F66" s="3"/>
    </row>
    <row r="67" customFormat="false" ht="28.35" hidden="false" customHeight="false" outlineLevel="0" collapsed="false">
      <c r="A67" s="14" t="s">
        <v>56</v>
      </c>
      <c r="B67" s="14" t="s">
        <v>887</v>
      </c>
      <c r="C67" s="14" t="s">
        <v>888</v>
      </c>
      <c r="D67" s="14" t="s">
        <v>889</v>
      </c>
      <c r="E67" s="14" t="s">
        <v>890</v>
      </c>
      <c r="F67" s="14" t="s">
        <v>217</v>
      </c>
    </row>
    <row r="68" customFormat="false" ht="15" hidden="false" customHeight="false" outlineLevel="0" collapsed="false">
      <c r="A68" s="15"/>
      <c r="B68" s="15"/>
      <c r="C68" s="15"/>
      <c r="D68" s="15"/>
      <c r="E68" s="15"/>
      <c r="F68" s="15"/>
    </row>
    <row r="69" customFormat="false" ht="15" hidden="false" customHeight="false" outlineLevel="0" collapsed="false">
      <c r="A69" s="15"/>
      <c r="B69" s="15"/>
      <c r="C69" s="15"/>
      <c r="D69" s="15"/>
      <c r="E69" s="15"/>
      <c r="F69" s="15"/>
    </row>
    <row r="70" customFormat="false" ht="15" hidden="false" customHeight="false" outlineLevel="0" collapsed="false">
      <c r="A70" s="15"/>
      <c r="B70" s="15"/>
      <c r="C70" s="15"/>
      <c r="D70" s="15"/>
      <c r="E70" s="15"/>
      <c r="F70" s="15"/>
    </row>
    <row r="71" customFormat="false" ht="15" hidden="false" customHeight="false" outlineLevel="0" collapsed="false">
      <c r="A71" s="15"/>
      <c r="B71" s="15"/>
      <c r="C71" s="15"/>
      <c r="D71" s="15"/>
      <c r="E71" s="15"/>
      <c r="F71" s="15"/>
    </row>
    <row r="72" customFormat="false" ht="15" hidden="false" customHeight="false" outlineLevel="0" collapsed="false">
      <c r="A72" s="15"/>
      <c r="B72" s="15"/>
      <c r="C72" s="15"/>
      <c r="D72" s="15"/>
      <c r="E72" s="15"/>
      <c r="F72" s="15"/>
    </row>
    <row r="73" customFormat="false" ht="15" hidden="false" customHeight="false" outlineLevel="0" collapsed="false">
      <c r="A73" s="15"/>
      <c r="B73" s="15"/>
      <c r="C73" s="15"/>
      <c r="D73" s="15"/>
      <c r="E73" s="15"/>
      <c r="F73" s="15"/>
    </row>
    <row r="74" customFormat="false" ht="15" hidden="false" customHeight="false" outlineLevel="0" collapsed="false">
      <c r="A74" s="15"/>
      <c r="B74" s="15"/>
      <c r="C74" s="15"/>
      <c r="D74" s="15"/>
      <c r="E74" s="15"/>
      <c r="F74" s="15"/>
    </row>
    <row r="75" customFormat="false" ht="15" hidden="false" customHeight="false" outlineLevel="0" collapsed="false">
      <c r="A75" s="15"/>
      <c r="B75" s="15"/>
      <c r="C75" s="15"/>
      <c r="D75" s="15"/>
      <c r="E75" s="15"/>
      <c r="F75" s="15"/>
    </row>
    <row r="76" customFormat="false" ht="15" hidden="false" customHeight="false" outlineLevel="0" collapsed="false">
      <c r="A76" s="15"/>
      <c r="B76" s="15"/>
      <c r="C76" s="15"/>
      <c r="D76" s="15"/>
      <c r="E76" s="15"/>
      <c r="F76" s="15"/>
    </row>
    <row r="77" customFormat="false" ht="15" hidden="false" customHeight="false" outlineLevel="0" collapsed="false">
      <c r="A77" s="15"/>
      <c r="B77" s="15"/>
      <c r="C77" s="15"/>
      <c r="D77" s="15"/>
      <c r="E77" s="15"/>
      <c r="F77" s="15"/>
    </row>
    <row r="78" customFormat="false" ht="15" hidden="false" customHeight="false" outlineLevel="0" collapsed="false">
      <c r="A78" s="15"/>
      <c r="B78" s="15"/>
      <c r="C78" s="15"/>
      <c r="D78" s="15"/>
      <c r="E78" s="15"/>
      <c r="F78" s="15"/>
    </row>
    <row r="79" customFormat="false" ht="15" hidden="false" customHeight="false" outlineLevel="0" collapsed="false">
      <c r="A79" s="15"/>
      <c r="B79" s="15"/>
      <c r="C79" s="15"/>
      <c r="D79" s="15"/>
      <c r="E79" s="15"/>
      <c r="F79" s="15"/>
    </row>
    <row r="80" customFormat="false" ht="15" hidden="false" customHeight="false" outlineLevel="0" collapsed="false">
      <c r="A80" s="15"/>
      <c r="B80" s="15"/>
      <c r="C80" s="15"/>
      <c r="D80" s="15"/>
      <c r="E80" s="15"/>
      <c r="F80" s="15"/>
    </row>
    <row r="81" customFormat="false" ht="15" hidden="false" customHeight="false" outlineLevel="0" collapsed="false">
      <c r="A81" s="15"/>
      <c r="B81" s="15"/>
      <c r="C81" s="15"/>
      <c r="D81" s="15"/>
      <c r="E81" s="15"/>
      <c r="F81" s="15"/>
    </row>
    <row r="82" customFormat="false" ht="15" hidden="false" customHeight="false" outlineLevel="0" collapsed="false">
      <c r="A82" s="15"/>
      <c r="B82" s="15"/>
      <c r="C82" s="15"/>
      <c r="D82" s="15"/>
      <c r="E82" s="15"/>
      <c r="F82" s="15"/>
    </row>
    <row r="83" customFormat="false" ht="15" hidden="false" customHeight="false" outlineLevel="0" collapsed="false">
      <c r="A83" s="15"/>
      <c r="B83" s="15"/>
      <c r="C83" s="15"/>
      <c r="D83" s="15"/>
      <c r="E83" s="15"/>
      <c r="F83" s="15"/>
    </row>
    <row r="84" customFormat="false" ht="15" hidden="false" customHeight="false" outlineLevel="0" collapsed="false">
      <c r="A84" s="15"/>
      <c r="B84" s="15"/>
      <c r="C84" s="15"/>
      <c r="D84" s="15"/>
      <c r="E84" s="15"/>
      <c r="F84" s="15"/>
    </row>
    <row r="85" customFormat="false" ht="15" hidden="false" customHeight="false" outlineLevel="0" collapsed="false">
      <c r="A85" s="15"/>
      <c r="B85" s="15"/>
      <c r="C85" s="15"/>
      <c r="D85" s="15"/>
      <c r="E85" s="15"/>
      <c r="F85" s="15"/>
    </row>
    <row r="86" customFormat="false" ht="15" hidden="false" customHeight="false" outlineLevel="0" collapsed="false">
      <c r="A86" s="15"/>
      <c r="B86" s="15"/>
      <c r="C86" s="15"/>
      <c r="D86" s="15"/>
      <c r="E86" s="15"/>
      <c r="F86" s="15"/>
    </row>
    <row r="87" customFormat="false" ht="15" hidden="false" customHeight="false" outlineLevel="0" collapsed="false">
      <c r="A87" s="15"/>
      <c r="B87" s="15"/>
      <c r="C87" s="15"/>
      <c r="D87" s="15"/>
      <c r="E87" s="15"/>
      <c r="F87" s="15"/>
    </row>
    <row r="88" customFormat="false" ht="15" hidden="false" customHeight="false" outlineLevel="0" collapsed="false">
      <c r="A88" s="15"/>
      <c r="B88" s="15"/>
      <c r="C88" s="15"/>
      <c r="D88" s="15"/>
      <c r="E88" s="15"/>
      <c r="F88" s="15"/>
    </row>
    <row r="89" customFormat="false" ht="15" hidden="false" customHeight="false" outlineLevel="0" collapsed="false">
      <c r="A89" s="15"/>
      <c r="B89" s="15"/>
      <c r="C89" s="15"/>
      <c r="D89" s="15"/>
      <c r="E89" s="15"/>
      <c r="F89" s="15"/>
    </row>
    <row r="90" customFormat="false" ht="15" hidden="false" customHeight="false" outlineLevel="0" collapsed="false">
      <c r="A90" s="15"/>
      <c r="B90" s="15"/>
      <c r="C90" s="15"/>
      <c r="D90" s="15"/>
      <c r="E90" s="15"/>
      <c r="F90" s="15"/>
    </row>
    <row r="91" customFormat="false" ht="15" hidden="false" customHeight="false" outlineLevel="0" collapsed="false">
      <c r="A91" s="15"/>
      <c r="B91" s="15"/>
      <c r="C91" s="15"/>
      <c r="D91" s="15"/>
      <c r="E91" s="15"/>
      <c r="F91" s="15"/>
    </row>
    <row r="92" customFormat="false" ht="15" hidden="false" customHeight="false" outlineLevel="0" collapsed="false">
      <c r="A92" s="15"/>
      <c r="B92" s="15"/>
      <c r="C92" s="15"/>
      <c r="D92" s="15"/>
      <c r="E92" s="15"/>
      <c r="F92" s="15"/>
    </row>
    <row r="93" customFormat="false" ht="15" hidden="false" customHeight="false" outlineLevel="0" collapsed="false">
      <c r="A93" s="15"/>
      <c r="B93" s="15"/>
      <c r="C93" s="15"/>
      <c r="D93" s="15"/>
      <c r="E93" s="15"/>
      <c r="F93" s="15"/>
    </row>
    <row r="94" customFormat="false" ht="15" hidden="false" customHeight="false" outlineLevel="0" collapsed="false">
      <c r="A94" s="15"/>
      <c r="B94" s="15"/>
      <c r="C94" s="15"/>
      <c r="D94" s="15"/>
      <c r="E94" s="15"/>
      <c r="F94" s="15"/>
    </row>
    <row r="95" customFormat="false" ht="15" hidden="false" customHeight="false" outlineLevel="0" collapsed="false">
      <c r="A95" s="15"/>
      <c r="B95" s="15"/>
      <c r="C95" s="15"/>
      <c r="D95" s="15"/>
      <c r="E95" s="15"/>
      <c r="F95" s="15"/>
    </row>
    <row r="96" customFormat="false" ht="15" hidden="false" customHeight="false" outlineLevel="0" collapsed="false">
      <c r="A96" s="15"/>
      <c r="B96" s="15"/>
      <c r="C96" s="15"/>
      <c r="D96" s="15"/>
      <c r="E96" s="15"/>
      <c r="F96" s="15"/>
    </row>
    <row r="97" customFormat="false" ht="15" hidden="false" customHeight="false" outlineLevel="0" collapsed="false">
      <c r="A97" s="15"/>
      <c r="B97" s="15"/>
      <c r="C97" s="15"/>
      <c r="D97" s="15"/>
      <c r="E97" s="15"/>
      <c r="F97" s="15"/>
    </row>
    <row r="98" customFormat="false" ht="15" hidden="false" customHeight="false" outlineLevel="0" collapsed="false">
      <c r="A98" s="15"/>
      <c r="B98" s="15"/>
      <c r="C98" s="15"/>
      <c r="D98" s="15"/>
      <c r="E98" s="15"/>
      <c r="F98" s="15"/>
    </row>
    <row r="99" customFormat="false" ht="15" hidden="false" customHeight="false" outlineLevel="0" collapsed="false">
      <c r="A99" s="15"/>
      <c r="B99" s="15"/>
      <c r="C99" s="15"/>
      <c r="D99" s="15"/>
      <c r="E99" s="15"/>
      <c r="F99" s="15"/>
    </row>
  </sheetData>
  <mergeCells count="2">
    <mergeCell ref="A1:K1"/>
    <mergeCell ref="A66:F66"/>
  </mergeCells>
  <hyperlinks>
    <hyperlink ref="C3" r:id="rId1" display="https://example.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2026-03-03T18:12:42Z</dcterms:created>
  <dc:creator>openpyxl</dc:creator>
  <dc:description/>
  <dc:language>en-US</dc:language>
  <cp:lastModifiedBy/>
  <dcterms:modified xsi:type="dcterms:W3CDTF">2026-03-03T19:47:11Z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